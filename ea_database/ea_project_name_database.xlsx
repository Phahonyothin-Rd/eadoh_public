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H\eaGit\eadoh\database\"/>
    </mc:Choice>
  </mc:AlternateContent>
  <xr:revisionPtr revIDLastSave="0" documentId="13_ncr:1_{A4D1B291-6F65-4D4D-BF63-B18B0D564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_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4" i="2" l="1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I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I28" i="2"/>
  <c r="K27" i="2"/>
  <c r="J27" i="2"/>
  <c r="K26" i="2"/>
  <c r="J26" i="2"/>
  <c r="K25" i="2"/>
  <c r="J25" i="2"/>
  <c r="K24" i="2"/>
  <c r="J24" i="2"/>
  <c r="K23" i="2"/>
  <c r="J23" i="2"/>
  <c r="I23" i="2"/>
  <c r="K22" i="2"/>
  <c r="J22" i="2"/>
  <c r="K21" i="2"/>
  <c r="J21" i="2"/>
  <c r="I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I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I5" i="2"/>
  <c r="K4" i="2"/>
  <c r="J4" i="2"/>
  <c r="K3" i="2"/>
  <c r="J3" i="2"/>
  <c r="K2" i="2"/>
  <c r="J2" i="2"/>
</calcChain>
</file>

<file path=xl/sharedStrings.xml><?xml version="1.0" encoding="utf-8"?>
<sst xmlns="http://schemas.openxmlformats.org/spreadsheetml/2006/main" count="569" uniqueCount="364">
  <si>
    <t>No</t>
  </si>
  <si>
    <t>Contract_No</t>
  </si>
  <si>
    <t>Highway_district</t>
  </si>
  <si>
    <t>Dated</t>
  </si>
  <si>
    <t>Contractor</t>
  </si>
  <si>
    <t>Pro_name</t>
  </si>
  <si>
    <t>Distance</t>
  </si>
  <si>
    <t>Start_date</t>
  </si>
  <si>
    <t>End_date</t>
  </si>
  <si>
    <t>Sum</t>
  </si>
  <si>
    <t>NONE</t>
  </si>
  <si>
    <t>ชร.1/44/2567</t>
  </si>
  <si>
    <t>เชียงรายที่ 1</t>
  </si>
  <si>
    <t xml:space="preserve"> ลว. 17 พ.ค. 2567</t>
  </si>
  <si>
    <t>ห้างหุ้นส่วนจำกัด เชียงรายสามชัย</t>
  </si>
  <si>
    <t>งานจ้างก่อสร้างโครงการก่อสร้างโครงข่ายทางหลวงแผ่นดิน กิจกรรมก่อสร้างทางหลวงพัฒนาพื้นที่ระดับภาค งานก่อสร้างเพิ่มช่องจราจรระดับภาค ทางหลวงหมายเลข 107 ตอนควบคุม 0300 ตอน เมืองงาม - แม่จัน</t>
  </si>
  <si>
    <t xml:space="preserve"> ระหว่าง กม.238+300 - กม.239+680</t>
  </si>
  <si>
    <t>ชร.1/45/2567</t>
  </si>
  <si>
    <t>ห้างหุ้นส่วนจำกัด แม่สายศิลา</t>
  </si>
  <si>
    <t>งานจ้างก่อสร้างเพิ่มมาตรฐานทางหลวง ทางหลวงหมายเลข 107 ตอนควบคุม 0300 ตอน เมืองงาม - แม่จัน</t>
  </si>
  <si>
    <t xml:space="preserve"> ระหว่าง กม.237+000 - กม.238+300</t>
  </si>
  <si>
    <t>ชร.1/66/2567</t>
  </si>
  <si>
    <t xml:space="preserve"> ลว. 27 พ.ย. 2567</t>
  </si>
  <si>
    <t>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1089 ตอน ผาเดื่อ - ห้วยหินฝน</t>
  </si>
  <si>
    <t xml:space="preserve"> ระหว่าง กม.10+600 - กม.10+750</t>
  </si>
  <si>
    <t>ชร.1/67/2567</t>
  </si>
  <si>
    <t xml:space="preserve"> ลว. 3 ธ.ค. 2567</t>
  </si>
  <si>
    <t>บริษัท ธนะวงศ์กรุ๊ป จำกัด</t>
  </si>
  <si>
    <t>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1</t>
  </si>
  <si>
    <t xml:space="preserve"> ระหว่าง กม.53+025 - กม.53+150</t>
  </si>
  <si>
    <t>ชร.1/68/2567</t>
  </si>
  <si>
    <t>บริษัท ไร้ท์ทันเน็ลลิ่ง จำกัด</t>
  </si>
  <si>
    <t>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3</t>
  </si>
  <si>
    <t xml:space="preserve"> ระหว่าง กม.72+425 - กม.72+625</t>
  </si>
  <si>
    <t>ชร.1/69/2567</t>
  </si>
  <si>
    <t xml:space="preserve"> ลว. 11 ธ.ค. 2567</t>
  </si>
  <si>
    <t>ห้างหุ้นส่วนจำกัด ดวงดีคอนกรีต</t>
  </si>
  <si>
    <t>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2</t>
  </si>
  <si>
    <t xml:space="preserve"> ระหว่าง กม.70+150 - กม.70+350</t>
  </si>
  <si>
    <t>ชร.1/70/2567</t>
  </si>
  <si>
    <t>ห้างหุ้นส่วนจำกัด พัฒนานุภาพก่อสร้าง</t>
  </si>
  <si>
    <t>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2</t>
  </si>
  <si>
    <t xml:space="preserve"> ระหว่าง กม.22+640 - กม.22+760</t>
  </si>
  <si>
    <t>ชร.1/72/2567</t>
  </si>
  <si>
    <t xml:space="preserve"> ลว. 13 ธ.ค. 2567</t>
  </si>
  <si>
    <t>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1</t>
  </si>
  <si>
    <t xml:space="preserve"> ระหว่าง กม.19+350 - กม.19+550</t>
  </si>
  <si>
    <t>ชร.1/6/2568</t>
  </si>
  <si>
    <t xml:space="preserve"> ลว. 15 ม.ค. 2568</t>
  </si>
  <si>
    <t>บริษัท เวิร์ล บริดจ์ เทคโนโลยี จำกัด</t>
  </si>
  <si>
    <t>งานบำรุงรักษาสะพาน ทางหลวงหมายเลข 1 ตอน แยกแม่กรณ์ - ห้วยพลู</t>
  </si>
  <si>
    <t xml:space="preserve"> ระหว่าง กม.934+243 - กม.934+493</t>
  </si>
  <si>
    <t>ชร.1/19/2568</t>
  </si>
  <si>
    <t xml:space="preserve"> ลว. 27 ม.ค. 2568</t>
  </si>
  <si>
    <t>กิจกรรมบูรณะโครงข่ายทางหลวงเพื่อมโยงระหว่างภาค ทางหลวงหมายเลข 1016 ตอน แม่จัน - กิ่วพร้าว ตอน 2</t>
  </si>
  <si>
    <t xml:space="preserve"> ระหว่าง กม.4+080 - กม.6+350</t>
  </si>
  <si>
    <t>ชร.1/20/2568</t>
  </si>
  <si>
    <t>งานปรับปรุงทางหลวงเพื่อส่งเสริมคุณภาพชีวิตขั้นพื้นฐาน ทางหลวงหมายเลข 1334 ตอน ผาบือ - ดอยช้างมูบ</t>
  </si>
  <si>
    <t xml:space="preserve"> ระหว่าง กม.23+279 - กม.28+100</t>
  </si>
  <si>
    <t>ชร.1/25/2568</t>
  </si>
  <si>
    <t xml:space="preserve"> ลว. 29 ม.ค. 2568</t>
  </si>
  <si>
    <t>งานบูรณะทางผิวแอสฟัลท์ ทางหลวงหมายเลข 107 ตอนควบคุม 0300 ตอน เมืองงาม - แม่จัน</t>
  </si>
  <si>
    <t xml:space="preserve"> ระหว่าง กม.211+653 - กม.226+292</t>
  </si>
  <si>
    <t>ชร.1/26/2568</t>
  </si>
  <si>
    <t xml:space="preserve"> ลว. 30 ม.ค. 2568</t>
  </si>
  <si>
    <t>กิจการค้าร่วม เอส.ซี.เอส.2568</t>
  </si>
  <si>
    <t>งานกิจกรรมยกระดับความปลอดภัยจุดกลับรถในระดับเดียวกัน ทางหลวงหมายเลข 1 ตอน พาน - ร่องขุ่น</t>
  </si>
  <si>
    <t xml:space="preserve"> ระหว่าง กม.903+870 - กม.904+380</t>
  </si>
  <si>
    <t>ชร.1/29/2568</t>
  </si>
  <si>
    <t>ห้างหุ้นส่วนจำกัด ธนะชัยแอสโซซิเอท</t>
  </si>
  <si>
    <t>โครงการจ้างเหมา กิจกรรมบูรณะทางผิวแสฟัลท์ ทางหลวงหมายเลข 1130 ตอนควบคุม 0100 ตอน ป่าซาง - กิ่วสะไต</t>
  </si>
  <si>
    <t xml:space="preserve"> ระหว่าง กม.36+980 - กม.39+610 </t>
  </si>
  <si>
    <t>ชร.1/31/2568</t>
  </si>
  <si>
    <t>บริษัท หาญเจริญเอนเตอร์ไพรส์เชียงราย จำกัด</t>
  </si>
  <si>
    <t>กิจกรรมบูรณะโครงข่ายทางหลวงเชื่อมโยงระหว่างภาค ทางหลวงหมายเลข 1 ตอน ร่องขุ่น - แยกแม่กรณ์</t>
  </si>
  <si>
    <t xml:space="preserve"> ระหว่าง กม.928+035 - กม.928+815</t>
  </si>
  <si>
    <t>ชร.1/32/2568</t>
  </si>
  <si>
    <t>กิจกรรมบูรณะโครงข่ายทางหลวงเชื่อมโยงระหว่างภาค ทางหลวงหมายเลข 1211 ตอน หนองเหียง - สวนดอก</t>
  </si>
  <si>
    <t xml:space="preserve"> ระหว่าง กม.2+520 - กม.4+825</t>
  </si>
  <si>
    <t>ชร.1/34/2568</t>
  </si>
  <si>
    <t xml:space="preserve"> ลว. 31 ม.ค. 2568</t>
  </si>
  <si>
    <t>บริษัท เพพ์ คอนสตรัคชั่นส์ จำกัด</t>
  </si>
  <si>
    <t>งานเสริมผิวแอสฟัลต์ ทางหลวงหมายเลข 1190 ตอน จำบอน - เหมืองง่า ตอน 3</t>
  </si>
  <si>
    <t xml:space="preserve"> ระหว่าง กม.0+000 - กม.3+350</t>
  </si>
  <si>
    <t>ชร.1/39/2568</t>
  </si>
  <si>
    <t>ห้างหุ้นส่วนจำกัด เชียงรายทรายเพชร</t>
  </si>
  <si>
    <t>งานจ้างก่อสร้างโครงการก่อสร้างงานจ้างเหมาทำการก่อสร้างงานเสริมผิวแอสฟัลต์ ทางหลวงหมายเลข 1190 ตอน จำบอน - เหมืองง่า ตอน 4</t>
  </si>
  <si>
    <t xml:space="preserve"> ระหว่าง กม.16+400 - กม.22+325</t>
  </si>
  <si>
    <t>ชร.1/40/2568</t>
  </si>
  <si>
    <t>งานปรับปรุงทางหลวงเพื่อส่งเสริมคุณภาพชีวิตขั้นพื้นฐาน ทางหลวงหมายเลข 1338 ตอน ขาแหย่ง -ป่าเมี่ยง</t>
  </si>
  <si>
    <t xml:space="preserve"> ระหว่าง กม.1+500 - กม.4+300 และ กม.12+355 - กม.13+500</t>
  </si>
  <si>
    <t>ชร.1/41/2568</t>
  </si>
  <si>
    <t>งานปรับปรุงทางหลวงเพื่อส่งเสริมคุณภาพชีวิตขั้นพื้นฐาน ทางหลวงหมายเลข 1150 ตอน ขุนแจ๋ - เวียงป่าเป้า</t>
  </si>
  <si>
    <t xml:space="preserve"> ระหว่าง กม.64+325 - กม.68+750</t>
  </si>
  <si>
    <t>ชร.1/48/2568</t>
  </si>
  <si>
    <t xml:space="preserve"> ลว. 18 ก.พ. 2568</t>
  </si>
  <si>
    <t>บริษัท เชียงรายแลนด์แอสโซซิเอทส์ จำกัด</t>
  </si>
  <si>
    <t>งานยกระดับความปลอดภัยบริเวณทางแยกขนาดใหญ่ โดยปรับปรุงโครงสร้างทาง ทางหลวงหมายเลข 123 ตอน ทางเลี่ยงเมืองแม่สาย</t>
  </si>
  <si>
    <t xml:space="preserve"> ระหว่าง กม.5+070 - กม.5+450</t>
  </si>
  <si>
    <t>ชร.1/49/2568</t>
  </si>
  <si>
    <t>ห้างหุ้นส่วนจำกัด เรืองเศรษฐ</t>
  </si>
  <si>
    <t>งานฟื้นฟูทางหลวง ทางหลวงหมายเลข 109 ตอน แม่สรวย - ห้วยป่าไร่ ตอน 4</t>
  </si>
  <si>
    <t xml:space="preserve"> ระหว่าง กม.19+550 - กม.19+750</t>
  </si>
  <si>
    <t>ชร.1/51/2568</t>
  </si>
  <si>
    <t xml:space="preserve"> ลว. 17 ก.พ. 2568</t>
  </si>
  <si>
    <t>บริษัท ภาคเหนือวัสดุ จำกัด</t>
  </si>
  <si>
    <t>งานฟื้นฟูทางหลวง ทางหลวงหมายเลข 1388 ตอน ห้วยน้ำขุ่น - พระตำหนักดอยตุง</t>
  </si>
  <si>
    <t xml:space="preserve"> ระหว่าง กม.4+725 - กม.5+225</t>
  </si>
  <si>
    <t>ชร.1/52/2568</t>
  </si>
  <si>
    <t>โครงการก่อสร้างโครงข่ายทางหลวงแผ่นดิน กิจกรรมก่อสร้างเพื่อมประสิทธิภาพทางหลวง งานก่อสร้างเพิ่มประสิทธิภาพทางหลวง ทางหลวงหมายเลข 1190 ตอน จำบอน - เหมืองง่า</t>
  </si>
  <si>
    <t xml:space="preserve"> ระหว่าง กม.8+075 - กม.9+875</t>
  </si>
  <si>
    <t>ชร.1/53/2568</t>
  </si>
  <si>
    <t>งานฟื้นฟูทางหลวง ทางหลวงหมายเลข 1150 ตอน ขุนแจ๋ - เวียงป่าเป้า ตอน 3</t>
  </si>
  <si>
    <t xml:space="preserve"> ระหว่าง กม.70+525 - กม.70+600</t>
  </si>
  <si>
    <t>ชร.1/54/2568</t>
  </si>
  <si>
    <t xml:space="preserve"> ลว. 21 ก.พ. 2568</t>
  </si>
  <si>
    <t>โครงการก่อสร้างโครงข่ายทางหลวงแผ่นดิน กิจกรรมก่อสร้างทางหลวงพัฒนาพื้นระดบภาค ทางหลวงหมายเลข 123 ตอน ทางเลี่ยงเมืองแม่สาย</t>
  </si>
  <si>
    <t xml:space="preserve"> ระหว่าง กม.0+200 - กม.1+050</t>
  </si>
  <si>
    <t>ชร.1/60/2568</t>
  </si>
  <si>
    <t xml:space="preserve"> ลว. 13 มี.ค. 2568</t>
  </si>
  <si>
    <t>กิจการค้าร่วม ทีพี</t>
  </si>
  <si>
    <t>กิจกรรมอำนวยความปลอดภัยทางถนน ประจำปี 2568 งานปรับปรุงจุดเสี่ยงและบริเวณอันตรายบนทางหลวง งานปรับปรุงจุดเสี่ยงและบริเวณอันตรายบนทางหลวงโดยปรับปรุงกายภาพ ทางหลวงหมายเลข 1152 ตอน หัวดอย - บ้านดอน</t>
  </si>
  <si>
    <t xml:space="preserve"> ระหว่าง กม.18+300 - กม.19+000</t>
  </si>
  <si>
    <t>ชร.1/61/2568</t>
  </si>
  <si>
    <t xml:space="preserve"> ลว. 17 มี.ค. 2568</t>
  </si>
  <si>
    <t>โครงการส่งเสริมธุรกิจการค้าการลงทุนเชื่อมโยงการค้าชายแดนสู่จุดศูนย์กลางการค้าของภูมิภาคกิจกรรมหลัก การพัฒนาเส้นทางและระบบ Logistics กิจกรรมย่อย ปรับปรุงผิวจราจร ทางหลวงหมายเลข 1209 ตอนควบคุม 0100 ตอน บ้านเด่น - ท่าข้าวเปลือก</t>
  </si>
  <si>
    <t xml:space="preserve"> ระหว่าง กม.25+900 - กม.26+950</t>
  </si>
  <si>
    <t>ชร.1/62/2568</t>
  </si>
  <si>
    <t xml:space="preserve"> ลว. 26 มี.ค. 2568</t>
  </si>
  <si>
    <t>งานฟื้นฟูทางหลวง ทางหลวงหมายเลข 1150 ตอน ขุนแจ๋ - เวียงป่าเป้า ตอน 2</t>
  </si>
  <si>
    <t xml:space="preserve"> ระหว่าง กม.60+670 - กม.60+720</t>
  </si>
  <si>
    <t>ชร.1/63/2568</t>
  </si>
  <si>
    <t xml:space="preserve"> ลว. 2 พ.ค. 2568</t>
  </si>
  <si>
    <t>งานจ้างก่อสร้างผลผลิตการพัฒนาทางหลวง เพื่อสนับสนุนระบบคมนาคมและโลจัสติกส์ กิจกรรมพัฒนาสะพานและระบบระบายน้ำ ทางหลวงหมายเลข 1 ตอน แยกแม่กรณ์ - ห้วยพลู</t>
  </si>
  <si>
    <t xml:space="preserve"> ระหว่าง กม.934+670 - กม.936+615</t>
  </si>
  <si>
    <t>ชร.1/64/2568</t>
  </si>
  <si>
    <t xml:space="preserve"> ลว. 13 พ.ค. 2568</t>
  </si>
  <si>
    <t>ห้างหุ้นส่วนจำกัด ธนะชัยแอทโซซิเอท</t>
  </si>
  <si>
    <t>งานจ้างเหมาโครงการบูรณาการ การท่องเที่ยวของกลุ่มจังหวัด กิจกรรมหลัก เพิ่มประสิทธิภาพทางหลวงเพื่อรองรับเส้นทางเศรษฐกิจรถไฟเด่นชัย เชียงราย เชียงของ และเชื่อมโยงการท่องเที่ยวภายในกลุ่มจังหวัดภาคเหนือ ตอนบน 2 งานปรับปรุงผิวจราจร</t>
  </si>
  <si>
    <t xml:space="preserve"> ระหว่าง  กม.27+000 - กม.30+360  ปริมาณงาน   1 แห่ง   (19,950 ตร.ม.)</t>
  </si>
  <si>
    <t>ชร.1/70/2568</t>
  </si>
  <si>
    <t xml:space="preserve"> ลว. 24 มิ.ย. 2568</t>
  </si>
  <si>
    <t>โครงการส่งเสริมและพัฒนาระบบ Logistic เพื่อเชื่อมโยงการค้าการลงทุน กิจกรรมหลัก การพัฒนาเส้นทางระบบ Logistics กิจกรรมย่อยที่ 1 งานปรับปรุงผิวจราจร ทางหลวงหมายเลข 1016 ตอนควบคุม 0100 ตอน แม่จัน - กิ่วพร้าว</t>
  </si>
  <si>
    <t xml:space="preserve"> ระหว่าง กม.6+350 - กม.10+000</t>
  </si>
  <si>
    <t>ชร.1/71/2568</t>
  </si>
  <si>
    <t xml:space="preserve"> ลว. 27 มิ.ย. 2568</t>
  </si>
  <si>
    <t>บริษัท เซฟโรด กรุ๊ป จำกัด</t>
  </si>
  <si>
    <t>โครงการปรับปรุงและพัฒนาแหล่งท่องเที่ยว และทรัพกรสนับสนุนการท่องเที่ยวให้มีคุณภาพ เพื่อรองรับการท่องเที่ยวกิจกรรมหลัก การพัฒนาแหล่งท่องเที่ยวเชิงศิลปวัฒนธรรมร่วมสมัยส่งเสริมอัตลักษณ์พื้นถิ่นเชียงราย กิจกรรมย่อยงานติดตั้งป้ายแจ้งเตือนความเร็วและเครื่องหมายบนผิวทาง ถนน เชียงราย - เชียงใหม่ ทางหลวงหมายเลข 118 ตอนควบคุม 0201 ตอน ดอยนางแก้ว - แม่สรวย</t>
  </si>
  <si>
    <t>ระหว่าง กม.52+750 - กม.62+000</t>
  </si>
  <si>
    <t>ชร.1/72/2568</t>
  </si>
  <si>
    <t xml:space="preserve"> ลว. 14 ส.ค. 2568</t>
  </si>
  <si>
    <t>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 ขาแหย่ง - ป่าเมี่ยง ตอน 2</t>
  </si>
  <si>
    <t xml:space="preserve"> ระหว่าง กม.13+600 - กม.13+900</t>
  </si>
  <si>
    <t>ชร.1/73/2568</t>
  </si>
  <si>
    <t xml:space="preserve"> ลว. 15 ส.ค. 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</si>
  <si>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1390 ตอน ทางเข้าพระธาติดอยตุง ตอน 4</t>
  </si>
  <si>
    <t xml:space="preserve"> ระหว่าง กม.0+450 - กม.0+650</t>
  </si>
  <si>
    <t>ชร.1/74/2568</t>
  </si>
  <si>
    <t xml:space="preserve"> ลว. 26 ส.ค. 2568</t>
  </si>
  <si>
    <t>งานจ้างก่อสร้างงบกลางรายการเงินสำรองจ่ายเพื่อกรณีฉุกเฉินหรือจำเป็น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4</t>
  </si>
  <si>
    <t xml:space="preserve"> ระหว่าง กม.3+125 - กม.3+275</t>
  </si>
  <si>
    <t>ชร.1/75/2568</t>
  </si>
  <si>
    <t xml:space="preserve"> ลว. 27 ส.ค. 2568</t>
  </si>
  <si>
    <t>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131 ตอน ทางเลี่ยงเมืองเชียงราย ตอน 4</t>
  </si>
  <si>
    <t xml:space="preserve"> ระหว่าง กม.8+885 - กม.9+575</t>
  </si>
  <si>
    <t>ชร.1/76/2568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</si>
  <si>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9</t>
  </si>
  <si>
    <t xml:space="preserve"> ระหว่าง กม.5+825 - กม.5+975</t>
  </si>
  <si>
    <t>ชร.1/77/2568</t>
  </si>
  <si>
    <t xml:space="preserve"> ลว. 28 ส.ค. 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</si>
  <si>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1149 ตอน ห้วยไคร้ - ห้วยน้ำริน</t>
  </si>
  <si>
    <t xml:space="preserve"> ระหว่าง กม.5+787 - กม.9+000</t>
  </si>
  <si>
    <t>ชร.1/78/2568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</si>
  <si>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ตอนควบคุม 0100 ตอน ขาแหย่ง - ป่าเมี่ยง ตอน 1</t>
  </si>
  <si>
    <t xml:space="preserve"> ระหว่าง กม.9+600 - กม.9+750</t>
  </si>
  <si>
    <t>ชร.1/79/2568</t>
  </si>
  <si>
    <t xml:space="preserve"> ลว. 29 ส.ค. 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</si>
  <si>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1190 ตอน จำบอน - เหมืองง่า ตอน 2</t>
  </si>
  <si>
    <t xml:space="preserve"> ระหว่าง กม.22+390 - กม.23+174</t>
  </si>
  <si>
    <t>ชร.1/80/2568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</si>
  <si>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1130 ตอน ป่าซาง - กิ่วสะไต ตอน 3</t>
  </si>
  <si>
    <t xml:space="preserve"> ระหว่าง กม.45+050 - กม.45+300</t>
  </si>
  <si>
    <t>ชร.1/81/2568</t>
  </si>
  <si>
    <t>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ตอน 3</t>
  </si>
  <si>
    <t xml:space="preserve"> ระหว่าง กม.61+170 - กม.62+650</t>
  </si>
  <si>
    <t>เรียน วว.ทล.2 ครับ ผอ.ขท.เชียงรายที่ 1 เป็นประธานตรวจรับงาน ชร.1/81/2568 ลว. 29 ส.ค. 2568 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ตอน 3 ระหว่าง กม.61+170 - กม.62+650 โดยมี ห้างหุ้นส่วนจำกัด ธนะชัยแอสโซซิเอท เป็นผู้รับจ้าง ผลการตรวจรับไม่มีปัญหาครับ</t>
  </si>
  <si>
    <t>ชร.1/82/2568</t>
  </si>
  <si>
    <t xml:space="preserve"> ลว.1 ก.ย. 2568</t>
  </si>
  <si>
    <t>งานจ้างก่อสร้างงบกลาง รายการเงินสำรองจ่ายเพื่อกรณ์ฉุกเฉินหรือจำเป็น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10</t>
  </si>
  <si>
    <t xml:space="preserve"> ระหว่าง กม.62+975 - กม.63+125</t>
  </si>
  <si>
    <t>ชร.1/83/2568</t>
  </si>
  <si>
    <t>งานจ้างก่อสร้างงบกลาง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1190 ตอน จำบอน - เหมืองง่า</t>
  </si>
  <si>
    <t xml:space="preserve"> ระหว่าง กม.3+525 - กม.6+650</t>
  </si>
  <si>
    <t>ชร.1/84/2568</t>
  </si>
  <si>
    <t xml:space="preserve"> ลว. 3 ก.ย. 2568</t>
  </si>
  <si>
    <t>งานจ้างก่อสร้างงบกลาง รายการเงนิสำรองจ่ายเพื่อกรณีฉุกเฉินหรือจำเป็น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8</t>
  </si>
  <si>
    <t xml:space="preserve"> ระหว่าง กม.213+525 - กม 213+725</t>
  </si>
  <si>
    <t>ชร.1/86/2568</t>
  </si>
  <si>
    <t xml:space="preserve"> ลว. 5 ก.ย. 2568</t>
  </si>
  <si>
    <t>งานจ้างก่อสร้างงบกลาง รายการค่าใช้จ่ายเพื่อการกระตุ้นเศรษฐกิจและสร้างความเข้มแข็ง ของระบบเศรษฐกิจ โครงการบำรุงรักษาทางหลวง เพื่อสนับสนุนโครงข่ายโลจิสติกส์และการขนส่ง งานบูรณะทางผิวแอสฟัลต์ งานบำรุงพิเศษและบูรณะ ทางหลวงหมายเลข 1130 ตอน ป่าซาง - กิ่วสะไต ตอน 3</t>
  </si>
  <si>
    <t xml:space="preserve"> ระหว่าง กม.0+060 - กม.2+560</t>
  </si>
  <si>
    <t>ชร.1/87/2568</t>
  </si>
  <si>
    <t>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4</t>
  </si>
  <si>
    <t xml:space="preserve"> ระหว่าง กม.211+550 - กม.211+730</t>
  </si>
  <si>
    <t>ชร.1/88/2568</t>
  </si>
  <si>
    <t>งานจ้างก่อสร้างงบกลาง รายการเงินสำรองจ่ายเพื่อกรณี 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7</t>
  </si>
  <si>
    <t xml:space="preserve"> ระหว่าง กม.59+600 - กม.59+725</t>
  </si>
  <si>
    <t>ชร.1/89/2568</t>
  </si>
  <si>
    <t>งานจ้างก่อสร้างงบกลาง รายการเงินสำรองจ่าย เพื่อกรณ์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1149 ตอน ห้วยไคร้ - ห้วยน้ำริน ตอน 1</t>
  </si>
  <si>
    <t xml:space="preserve"> ระหว่าง กม.9+350 - กม.9+500</t>
  </si>
  <si>
    <t>ชร.1/90/2568</t>
  </si>
  <si>
    <t xml:space="preserve"> ลว. 8 ก.ย. 2568</t>
  </si>
  <si>
    <t>งานจ้างก่อสร้างงบกลาง รายการเงินสำรองจ่าย 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6</t>
  </si>
  <si>
    <t xml:space="preserve"> ระหว่าง กม.211+950 - กม.212+200</t>
  </si>
  <si>
    <t>ชร.1/91/2568</t>
  </si>
  <si>
    <t>งานจ้างก่อสร้างงบกลาง รายการเงินสำรองจ่าย เพื่อกรณี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4</t>
  </si>
  <si>
    <t xml:space="preserve"> ระหว่าง กม.56+575 - กม.56+725</t>
  </si>
  <si>
    <t>ชร.1/92/2568</t>
  </si>
  <si>
    <t>งานจ้างก่อสร้างงบกลาง รายการเงินสำรองจ่ายเพื่อการกระตุ้นเศรษฐกิจ และสร้างความเข้มแข็งของระบบเศรษฐกิจโครงการบำรุงรักษาทางหลวง เพื่อสนับสนุนโครงข่ายโลจีสติกส์และการขนส่ง งานเสริมผิวแอสฟัลต์ งานบำรุงตามกำหนดเวลา ทางหลวงหมายเลข 1130 ตอน ป่าซาง - กิ่วสะไต ตอน 2</t>
  </si>
  <si>
    <t xml:space="preserve"> ระหว่าง กม.30+360 - กม.34+360</t>
  </si>
  <si>
    <t>ชร.1/93/2568</t>
  </si>
  <si>
    <t>บริษัท สายรักไทย (1994) จำกัด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</si>
  <si>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1190 ตอน จำบอน - เหมืองง่า</t>
  </si>
  <si>
    <t xml:space="preserve"> ระหว่าง กม.1+300 - กม.4+380</t>
  </si>
  <si>
    <t>ชร.1/94/2568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</si>
  <si>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1211 ตอน หนองเหียง - สวนดอก</t>
  </si>
  <si>
    <t xml:space="preserve"> ระหว่าง กม.11+960 - กม.14+375</t>
  </si>
  <si>
    <t>ชร.1/95/2568</t>
  </si>
  <si>
    <t xml:space="preserve"> ลว. 9 ก.ย. 2568</t>
  </si>
  <si>
    <t>บริษัท เฟิสท์ ฉื่อ จิ้น ฮั้ว จำกัด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</si>
  <si>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109 ตอน แม่สรวย - ห้วยป่าไร่</t>
  </si>
  <si>
    <t xml:space="preserve"> ระหว่าง กม.10+000 - กม.24+000 เป็นช่วงๆ</t>
  </si>
  <si>
    <t>ชร.1/96/2568</t>
  </si>
  <si>
    <t>บริษัท ทาซ่าอินดัสเทรียล จำกัด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</si>
  <si>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1149 ตอน ห้วยไคร้ - ห้วยน้ำริน ตอน 2</t>
  </si>
  <si>
    <t xml:space="preserve"> ระหว่าง กม.11+000 - กม.15+760</t>
  </si>
  <si>
    <t>ชร.1/97/2568</t>
  </si>
  <si>
    <t>บริษัท ไบร์ท อินโนเวชั่น จำกัด</t>
  </si>
  <si>
    <t>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1016 ตอน แม่จัน - กิ่วพร้าว</t>
  </si>
  <si>
    <t xml:space="preserve"> ระหว่าง กม.3+630 - กม.3+650</t>
  </si>
  <si>
    <t>ชร.1/98/2568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</si>
  <si>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งานซ่อมไฟสัญญาณจราจร ระบบควบคุมการจราจรแบบปรับได้ งานอำนวยความปลอดภัย เพื่อป้องกันและแก้ไขอุบัติเหตุทางถนน ทางหลวงหมายเลข 1 ตอนแยกแม่กรณ์ - ห้วยพลู ตอน 1</t>
  </si>
  <si>
    <t xml:space="preserve"> ระหว่าง กม.932+000 - กม.932+400</t>
  </si>
  <si>
    <t>ชร.1/99/2568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</si>
  <si>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3</t>
  </si>
  <si>
    <t xml:space="preserve"> ระหว่าง กม.0+600 - กม.0+800</t>
  </si>
  <si>
    <t>ชร.1/100/2568</t>
  </si>
  <si>
    <t>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4</t>
  </si>
  <si>
    <t xml:space="preserve"> ระหว่าง กม.0+100 - กม.0+200</t>
  </si>
  <si>
    <t>ชร.1/101/2568</t>
  </si>
  <si>
    <t xml:space="preserve"> ลว. 10 ก.ย. 2568</t>
  </si>
  <si>
    <t>ห้างหุ้นส่วนจำกัด กรรณ์วิริยะ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</si>
  <si>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1233 ตอน ศรีทรายมูล - บ้านด้าย</t>
  </si>
  <si>
    <t xml:space="preserve"> ระหว่าง กม.0+000 - กม.6+300 (เป็นช่วงๆ)</t>
  </si>
  <si>
    <t>ชร.1/102/2568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</si>
  <si>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107 ตอน เมืองงาม - แม่จัน</t>
  </si>
  <si>
    <t xml:space="preserve"> ระหว่าง กม.205+121 - กม.240+301 (เป็นช่วงๆ)</t>
  </si>
  <si>
    <t>ชร.1/103/2568</t>
  </si>
  <si>
    <t>บริษัท ไทยโซลิด จำกัด</t>
  </si>
  <si>
    <t>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1</t>
  </si>
  <si>
    <t xml:space="preserve"> ระหว่าง กม.972+000 - กม.975+600</t>
  </si>
  <si>
    <t>ชร.1/104/2568</t>
  </si>
  <si>
    <t xml:space="preserve"> ลว. 11 ก.ย. 2568</t>
  </si>
  <si>
    <t>งานจ้างก่อสร้าง งานเสริมผิวแอสฟัลต์ แขวงทางหลวงเชียงรายที่ 1 ทางหลวงหมายเลข 1 ตอนควบคุม 1403 ตอน แยกแม่กรณ์ - ห้วยพลู</t>
  </si>
  <si>
    <t xml:space="preserve"> ระหว่าง กม.933+800 - กม.934+400</t>
  </si>
  <si>
    <t>ชร.1/105/2568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</si>
  <si>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ตอน 2</t>
  </si>
  <si>
    <t xml:space="preserve"> ระหว่าง กม.13+600 - กม.16+100</t>
  </si>
  <si>
    <t>เรียน วว.ทล.2 ครับ ผอ.ขท.เชียงรายที่ 1 เป็นประธานตรวจรับงาน ชร.1/105/2568 ลว. 11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ตอน 2 ระหว่าง กม.13+600 - กม.16+100 โดยมี ห้างหุ้นส่วนจำกัด เชียงรายทรายเพชร เป็นผู้รับจ้าง ผลการตรวจรับไม่มีปัญหาครับ</t>
  </si>
  <si>
    <t>ชร.1/106/2568</t>
  </si>
  <si>
    <t>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2</t>
  </si>
  <si>
    <t xml:space="preserve"> ระหว่าง กม.991+517 - กม.991+917</t>
  </si>
  <si>
    <t>ชร.1/107/2568</t>
  </si>
  <si>
    <t>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131 ตอน ทางเลี่ยงเมืองเชียงราย ตอน 1</t>
  </si>
  <si>
    <t xml:space="preserve"> ระหว่าง กม.4+450 - กม.4+550</t>
  </si>
  <si>
    <t>ชร.1/108/2568</t>
  </si>
  <si>
    <t>ห้างหุ้นส่วนจำกัด โรดเวย์ เอนเตอร์ไพรส์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</si>
  <si>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เพื่อสนับสนุนโครงข่ายโลจิสติกส์และการขนส่งงานป้ายข้างทาง งานอำนวยความปลอดภัยเพื่อป้องกันและแก้ไขอุบัติเหตุทางถนน ทางหลวงหมายเลข 1334 ตอน ผาบือ - ดอยข้างมูบ ตอน 1</t>
  </si>
  <si>
    <t xml:space="preserve"> ระหว่าง กม.0+000 - กม.18+000</t>
  </si>
  <si>
    <t>ชร.1/113/2568</t>
  </si>
  <si>
    <t xml:space="preserve"> ลว. 16 ก.ย. 2568</t>
  </si>
  <si>
    <t>งานโครงการก่อสร้างงบกลาง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118 ตอน ดอยงานแก้ว - แม่สรวย ตอน 2</t>
  </si>
  <si>
    <t xml:space="preserve"> ระหว่าง กม.88+000 - กม.89+900</t>
  </si>
  <si>
    <t>ชร.1/114/2568</t>
  </si>
  <si>
    <t xml:space="preserve"> ลว. 17 ก.ย. 2568</t>
  </si>
  <si>
    <t>บริษัทเชียงรายแลนด์ แอสโซซิเอทส์ จำกัด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</si>
  <si>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1306 ตอน ห้วยสัก - บ้านดอน</t>
  </si>
  <si>
    <t xml:space="preserve"> ระหว่าง กม.5+140 - กม7+710</t>
  </si>
  <si>
    <t>เรียน วว.ทล.2 ครับ ผอ.ขท.เชียงรายที่ 1 เป็นประธานตรวจรับงาน ชร.1/114/2568 ลว. 17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1306 ตอน ห้วยสัก - บ้านดอน ระหว่าง กม.5+140 - กม7+710 โดยมี บริษัทเชียงรายแลนด์ แอสโซซิเอทส์ จำกัด เป็นผู้รับจ้าง ผลการตรวจรับไม่มีปัญหาครับ</t>
  </si>
  <si>
    <t>ชร.1/121/2568</t>
  </si>
  <si>
    <t xml:space="preserve"> ลว. 18 ก.ย. 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</si>
  <si>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109 ตอน แม่สรวย - ห้วยป่าไร่</t>
  </si>
  <si>
    <t xml:space="preserve"> ระหว่าง กม.19+800 - 22+050</t>
  </si>
  <si>
    <t>ชร.1/122/2568</t>
  </si>
  <si>
    <t xml:space="preserve"> ลว. 19 ก.ย. 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</si>
  <si>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งานบูรณะผิวทางแอสฟัลต์งานบำรุงพิเศษและบูรณะ ทางหลวงหมายเลข 1130 ตอน ป่าซาง - กิ่วสะไต ตอน 4</t>
  </si>
  <si>
    <t xml:space="preserve"> ระหว่าง กม.44+030 - กม.46+550</t>
  </si>
  <si>
    <t>ชร.1/123/2568</t>
  </si>
  <si>
    <t xml:space="preserve"> ลว. 22 ก.ย. 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</si>
  <si>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118 ตอน ดอยนายแก้ว - แม่สรวย</t>
  </si>
  <si>
    <t xml:space="preserve"> ระหว่าง กม.76+125 - กม.77+315</t>
  </si>
  <si>
    <t>ชร.1/124/2568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</si>
  <si>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109 ตอน แม่สรวย - ห้วยป่าไร่ ตอน 3</t>
  </si>
  <si>
    <t xml:space="preserve"> ระหว่าง กม.22+760 - กม.24+860</t>
  </si>
  <si>
    <t>เรียน วว.ทล.2 ครับ ผอ.ขท.เชียงรายที่ 1 เป็นประธานตรวจรับงาน ชร.1/124/2568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109 ตอน แม่สรวย - ห้วยป่าไร่ ตอน 3 ระหว่าง กม.22+760 - กม.24+860 โดยมี บริษัท หาญเจริญเอนเตอร์ไพรส์เชียงราย จำกัด เป็นผู้รับจ้าง ผลการตรวจรับไม่มีปัญหาครับ</t>
  </si>
  <si>
    <t>ชร.1/125/2568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</si>
  <si>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1306 ตอน ห้วยสัก - บ้านดอน</t>
  </si>
  <si>
    <t xml:space="preserve"> ระหว่าง กม.1+500 - กม.4+700</t>
  </si>
  <si>
    <t>ชร.1/126/2568</t>
  </si>
  <si>
    <t>ห้างหุ้นส่วนจำกัด หลิ่มเซ่งพงษ์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</si>
  <si>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1354 ตอน ทางเข้าพาน</t>
  </si>
  <si>
    <t xml:space="preserve"> ระหว่าง กม.0+089 - กม.1+800</t>
  </si>
  <si>
    <t>ชร.1/127/2568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</si>
  <si>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</t>
  </si>
  <si>
    <t xml:space="preserve"> ระหว่าง กม.0+100 - กม.1+500</t>
  </si>
  <si>
    <t>เรียน วว.ทล.2 ครับ ผอ.ขท.เชียงรายที่ 1 เป็นประธานตรวจรับงาน ชร.1/127/2568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ระหว่าง กม.0+100 - กม.1+500 โดยมี บริษัท หาญเจริญเอนเตอร์ไพรส์เชียงราย จำกัด เป็นผู้รับจ้าง ผลการตรวจรับไม่มีปัญหาครับ</t>
  </si>
  <si>
    <t>ชร.1/128/2568</t>
  </si>
  <si>
    <t>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งานบูรณะผิวทางแอสฟัลต์ งานบำรุงพิเศษและบูรณะ ทางหลวงหมายเลข 1130 ตอน ป่าซาง - กิ่วสะไต ตอน 2</t>
  </si>
  <si>
    <t xml:space="preserve"> ระหว่าง กม.17+700 - กม.20+960</t>
  </si>
  <si>
    <t>ชร.1/129/2568</t>
  </si>
  <si>
    <t xml:space="preserve"> ลว. 25 ก.ย. 2568</t>
  </si>
  <si>
    <t>บริษัท ล้านนาซีวิลเอ็นจิเนียริ่ง จำกัด</t>
  </si>
  <si>
    <t>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</t>
  </si>
  <si>
    <t xml:space="preserve"> ระหว่าง กม.81+100 - กม.82+900</t>
  </si>
  <si>
    <t>ชร.1/130/2568</t>
  </si>
  <si>
    <t xml:space="preserve"> ลว. 26 ก.ย. 2568</t>
  </si>
  <si>
    <t>บริษัท สมทรงแม็คโคร คอนเน็คชั่น จำกัด</t>
  </si>
  <si>
    <t>งานจ้างก่อสร้างปรับปรุงจุดกลับรถหน้าโรงพยาบาลแม่จัน ทางหลวงหมายเลข 1 ตอนควบคุม 1404 ตอน ห้วยพลู - แม่คำ</t>
  </si>
  <si>
    <t xml:space="preserve"> ระหว่าง กม.958+700 -959+200</t>
  </si>
  <si>
    <t>ชร.1/132/2568</t>
  </si>
  <si>
    <t xml:space="preserve"> ลว. 28 ต.ค. 2568</t>
  </si>
  <si>
    <t>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131 ตอบควบคุม 0100 ตอน ทางเลี่ยงเมืองเชียงราย</t>
  </si>
  <si>
    <t xml:space="preserve"> ระหว่าง กม.8+700 - กม.9+300</t>
  </si>
  <si>
    <t>ชร.1/133/2568</t>
  </si>
  <si>
    <t>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1232 ตอบควบคุม 0100 ตอน อนุสาวรีย์พ่อขุนเม็งราย - เวียงชัย</t>
  </si>
  <si>
    <t xml:space="preserve"> ระหว่าง กม.0+000 - กม.2+000</t>
  </si>
  <si>
    <t>ชร.2/59/2568</t>
  </si>
  <si>
    <t>เชียงรายที่ 2</t>
  </si>
  <si>
    <t>งานจ้างเหมาทำการ งานเพื่อพื้นฟูโครงสร้างพื้นฐานที่ได้รับความเสียหายจากอุทกภัยและภัยพิบัติ ทางหลวงหมายเลข 1155 ตอนควบคุม 0101 ตอน บ้านปี้ - ทรายกาด ตอน 3</t>
  </si>
  <si>
    <t xml:space="preserve"> ระหว่าง กม.5+345 - กม.5+535</t>
  </si>
  <si>
    <t>ชร.2/60/2568</t>
  </si>
  <si>
    <t>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10</t>
  </si>
  <si>
    <t xml:space="preserve"> ระหว่าง กม.49+300 - กม.49+500</t>
  </si>
  <si>
    <t>ชร.2/61/2568</t>
  </si>
  <si>
    <t>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1290 ตอนควบคุม 0102 ตอน กิ่วกาญจน์ - เชียงของ ตอน 5</t>
  </si>
  <si>
    <t xml:space="preserve"> ระหว่าง กม.70+475 - กม.70+545</t>
  </si>
  <si>
    <t>ชร.2/63/2568</t>
  </si>
  <si>
    <t>บริษัท ไร้ท์ทันเน็ลลิ่ง จำกัด(มหาชน)</t>
  </si>
  <si>
    <t>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7</t>
  </si>
  <si>
    <t xml:space="preserve"> ระหว่าง กม.38-400 - กม.38+500</t>
  </si>
  <si>
    <t>ชร.2/78/2568</t>
  </si>
  <si>
    <t>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6</t>
  </si>
  <si>
    <t xml:space="preserve"> ระหว่าง กม.27+285 - กม.28+375</t>
  </si>
  <si>
    <t>ชร.2/81/2568</t>
  </si>
  <si>
    <t>งานจ้างเหมาทำการ งานเสริมผิวแอสฟัลต์ ทางหลวงหมายเลข 1385 ตอน แม่ต๋ำน้อย - ชมภู</t>
  </si>
  <si>
    <t xml:space="preserve"> ระหว่าง กม.4+000 - กม.6+690</t>
  </si>
  <si>
    <t>ชร.2/80/2568</t>
  </si>
  <si>
    <t>กิจการร่วมค้า BCK-PNT JV</t>
  </si>
  <si>
    <t>งานจ้างเหมาทำการ งานเสริมผิวแอสฟัลต์ ทางหลวงหมายเลข 1016 ตอน กิ่วพร้าว - เชียงแสน</t>
  </si>
  <si>
    <t xml:space="preserve"> ระหว่าง กม.10+000 - กม.10+310</t>
  </si>
  <si>
    <t>ชร.2/55/2568</t>
  </si>
  <si>
    <t xml:space="preserve"> ลว. 2 ก.ย. 2568</t>
  </si>
  <si>
    <t>งานจ้างเหมาทำการ งานเสริมผิวแอสฟัลต์ ทางหลวงหมายเลข 1016 ตอน กิ่วพร้าว - เชียงแสน ตอน 1</t>
  </si>
  <si>
    <t xml:space="preserve"> ระหว่าง กม.14+762 - กม.16+060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</si>
</sst>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[$-187041E]d\ mmm\ yy;@"/>
    <numFmt numFmtId="188" formatCode="&quot; ลว. &quot;\ [$-187041E]d\ mmm\ yyyy;@"/>
  </numFmts>
  <fonts count="4" x14ac:knownFonts="1">
    <font>
      <sz val="11"/>
      <color theme="1"/>
      <name val="Tahoma"/>
      <family val="2"/>
      <scheme val="minor"/>
    </font>
    <font>
      <b/>
      <sz val="9"/>
      <color theme="1"/>
      <name val="Leelawadee"/>
      <family val="2"/>
      <charset val="222"/>
    </font>
    <font>
      <sz val="11"/>
      <color theme="1"/>
      <name val="Leelawadee"/>
      <family val="2"/>
    </font>
    <font>
      <sz val="9"/>
      <color theme="1"/>
      <name val="Leelawade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187" fontId="3" fillId="0" borderId="0" xfId="0" applyNumberFormat="1" applyFont="1"/>
    <xf numFmtId="188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2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4826-B29A-4704-8969-992BD5548414}">
  <dimension ref="A1:M268"/>
  <sheetViews>
    <sheetView tabSelected="1" topLeftCell="A53" workbookViewId="0">
      <selection activeCell="J83" sqref="J83"/>
    </sheetView>
  </sheetViews>
  <sheetFormatPr defaultColWidth="9" defaultRowHeight="15" x14ac:dyDescent="0.25"/>
  <cols>
    <col min="1" max="7" width="13.375" style="5" customWidth="1"/>
    <col min="8" max="8" width="8.875" style="5" bestFit="1" customWidth="1"/>
    <col min="9" max="9" width="8.5" style="5" bestFit="1" customWidth="1"/>
    <col min="10" max="10" width="9" style="4"/>
    <col min="11" max="11" width="9" style="14"/>
    <col min="12" max="12" width="9" style="4"/>
    <col min="13" max="13" width="13.375" style="5" customWidth="1"/>
    <col min="14" max="16384" width="9" style="5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</row>
    <row r="2" spans="1:13" x14ac:dyDescent="0.25">
      <c r="A2" s="6">
        <v>1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8" t="str">
        <f>IF(B2="","", B2 &amp; D2 &amp; " " &amp; F2 &amp; G2 &amp; " โดยมี "&amp; E2 &amp; " เป็นผู้รับจ้าง")</f>
        <v>NONENONE NONENONE โดยมี NONE เป็นผู้รับจ้าง</v>
      </c>
      <c r="K2" s="9" t="str">
        <f>IF(B2="","", "เรียน วว.ทล.2 ครับ ผอ.ขท."&amp; C2 &amp; " เป็นประธานตรวจรับงาน " &amp;B2 &amp; D2 &amp; " " &amp; F2 &amp; G2 &amp; " โดยมี "&amp; E2 &amp; " เป็นผู้รับจ้าง ผลการตรวจรับไม่มีปัญหาครับ")</f>
        <v>เรียน วว.ทล.2 ครับ ผอ.ขท.NONE เป็นประธานตรวจรับงาน NONENONE NONENONE โดยมี NONE เป็นผู้รับจ้าง ผลการตรวจรับไม่มีปัญหาครับ</v>
      </c>
    </row>
    <row r="3" spans="1:13" x14ac:dyDescent="0.25">
      <c r="A3" s="6">
        <v>2</v>
      </c>
      <c r="B3" s="7" t="s">
        <v>11</v>
      </c>
      <c r="C3" s="10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11">
        <v>45430</v>
      </c>
      <c r="I3" s="11">
        <v>45609</v>
      </c>
      <c r="J3" s="8" t="str">
        <f t="shared" ref="J3:J66" si="0">IF(B3="","", B3 &amp; D3 &amp; " " &amp; F3 &amp; G3 &amp; " โดยมี "&amp; E3 &amp; " เป็นผู้รับจ้าง")</f>
        <v>ชร.1/44/2567 ลว. 17 พ.ค. 2567 งานจ้างก่อสร้างโครงการก่อสร้างโครงข่ายทางหลวงแผ่นดิน กิจกรรมก่อสร้างทางหลวงพัฒนาพื้นที่ระดับภาค งานก่อสร้างเพิ่มช่องจราจรระดับภาค ทางหลวงหมายเลข 107 ตอนควบคุม 0300 ตอน เมืองงาม - แม่จัน ระหว่าง กม.238+300 - กม.239+680 โดยมี ห้างหุ้นส่วนจำกัด เชียงรายสามชัย เป็นผู้รับจ้าง</v>
      </c>
      <c r="K3" s="9" t="str">
        <f t="shared" ref="K3:K66" si="1">IF(B3="","", "เรียน วว.ทล.2 ครับ ผอ.ขท."&amp; C3 &amp; " เป็นประธานตรวจรับงาน " &amp;B3 &amp; D3 &amp; " " &amp; F3 &amp; G3 &amp; " โดยมี "&amp; E3 &amp; " เป็นผู้รับจ้าง ผลการตรวจรับไม่มีปัญหาครับ")</f>
        <v>เรียน วว.ทล.2 ครับ ผอ.ขท.เชียงรายที่ 1 เป็นประธานตรวจรับงาน ชร.1/44/2567 ลว. 17 พ.ค. 2567 งานจ้างก่อสร้างโครงการก่อสร้างโครงข่ายทางหลวงแผ่นดิน กิจกรรมก่อสร้างทางหลวงพัฒนาพื้นที่ระดับภาค งานก่อสร้างเพิ่มช่องจราจรระดับภาค ทางหลวงหมายเลข 107 ตอนควบคุม 0300 ตอน เมืองงาม - แม่จัน ระหว่าง กม.238+300 - กม.239+680 โดยมี ห้างหุ้นส่วนจำกัด เชียงรายสามชัย เป็นผู้รับจ้าง ผลการตรวจรับไม่มีปัญหาครับ</v>
      </c>
      <c r="M3" s="12"/>
    </row>
    <row r="4" spans="1:13" x14ac:dyDescent="0.25">
      <c r="A4" s="6">
        <v>3</v>
      </c>
      <c r="B4" s="7" t="s">
        <v>17</v>
      </c>
      <c r="C4" s="10" t="s">
        <v>12</v>
      </c>
      <c r="D4" s="7" t="s">
        <v>13</v>
      </c>
      <c r="E4" s="7" t="s">
        <v>18</v>
      </c>
      <c r="F4" s="7" t="s">
        <v>19</v>
      </c>
      <c r="G4" s="7" t="s">
        <v>20</v>
      </c>
      <c r="H4" s="11">
        <v>45430</v>
      </c>
      <c r="I4" s="11">
        <v>45609</v>
      </c>
      <c r="J4" s="8" t="str">
        <f t="shared" si="0"/>
        <v>ชร.1/45/2567 ลว. 17 พ.ค. 2567 งานจ้างก่อสร้างเพิ่มมาตรฐานทางหลวง ทางหลวงหมายเลข 107 ตอนควบคุม 0300 ตอน เมืองงาม - แม่จัน ระหว่าง กม.237+000 - กม.238+300 โดยมี ห้างหุ้นส่วนจำกัด แม่สายศิลา เป็นผู้รับจ้าง</v>
      </c>
      <c r="K4" s="9" t="str">
        <f t="shared" si="1"/>
        <v>เรียน วว.ทล.2 ครับ ผอ.ขท.เชียงรายที่ 1 เป็นประธานตรวจรับงาน ชร.1/45/2567 ลว. 17 พ.ค. 2567 งานจ้างก่อสร้างเพิ่มมาตรฐานทางหลวง ทางหลวงหมายเลข 107 ตอนควบคุม 0300 ตอน เมืองงาม - แม่จัน ระหว่าง กม.237+000 - กม.238+300 โดยมี ห้างหุ้นส่วนจำกัด แม่สายศิลา เป็นผู้รับจ้าง ผลการตรวจรับไม่มีปัญหาครับ</v>
      </c>
      <c r="M4" s="12"/>
    </row>
    <row r="5" spans="1:13" x14ac:dyDescent="0.25">
      <c r="A5" s="6">
        <v>4</v>
      </c>
      <c r="B5" s="7" t="s">
        <v>21</v>
      </c>
      <c r="C5" s="10" t="s">
        <v>12</v>
      </c>
      <c r="D5" s="7" t="s">
        <v>22</v>
      </c>
      <c r="E5" s="7" t="s">
        <v>18</v>
      </c>
      <c r="F5" s="7" t="s">
        <v>23</v>
      </c>
      <c r="G5" s="7" t="s">
        <v>24</v>
      </c>
      <c r="H5" s="11">
        <v>45624</v>
      </c>
      <c r="I5" s="11">
        <f>H5+180</f>
        <v>45804</v>
      </c>
      <c r="J5" s="8" t="str">
        <f t="shared" si="0"/>
        <v>ชร.1/66/2567 ลว. 27 พ.ย.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1089 ตอน ผาเดื่อ - ห้วยหินฝน ระหว่าง กม.10+600 - กม.10+750 โดยมี ห้างหุ้นส่วนจำกัด แม่สายศิลา เป็นผู้รับจ้าง</v>
      </c>
      <c r="K5" s="9" t="str">
        <f t="shared" si="1"/>
        <v>เรียน วว.ทล.2 ครับ ผอ.ขท.เชียงรายที่ 1 เป็นประธานตรวจรับงาน ชร.1/66/2567 ลว. 27 พ.ย.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1089 ตอน ผาเดื่อ - ห้วยหินฝน ระหว่าง กม.10+600 - กม.10+750 โดยมี ห้างหุ้นส่วนจำกัด แม่สายศิลา เป็นผู้รับจ้าง ผลการตรวจรับไม่มีปัญหาครับ</v>
      </c>
      <c r="M5" s="12"/>
    </row>
    <row r="6" spans="1:13" x14ac:dyDescent="0.25">
      <c r="A6" s="6">
        <v>5</v>
      </c>
      <c r="B6" s="7" t="s">
        <v>25</v>
      </c>
      <c r="C6" s="10" t="s">
        <v>12</v>
      </c>
      <c r="D6" s="7" t="s">
        <v>26</v>
      </c>
      <c r="E6" s="7" t="s">
        <v>27</v>
      </c>
      <c r="F6" s="7" t="s">
        <v>28</v>
      </c>
      <c r="G6" s="7" t="s">
        <v>29</v>
      </c>
      <c r="H6" s="11">
        <v>45631</v>
      </c>
      <c r="I6" s="11">
        <v>45809</v>
      </c>
      <c r="J6" s="8" t="str">
        <f t="shared" si="0"/>
        <v>ชร.1/67/2567 ลว. 3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1 ระหว่าง กม.53+025 - กม.53+150 โดยมี บริษัท ธนะวงศ์กรุ๊ป จำกัด เป็นผู้รับจ้าง</v>
      </c>
      <c r="K6" s="9" t="str">
        <f t="shared" si="1"/>
        <v>เรียน วว.ทล.2 ครับ ผอ.ขท.เชียงรายที่ 1 เป็นประธานตรวจรับงาน ชร.1/67/2567 ลว. 3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1 ระหว่าง กม.53+025 - กม.53+150 โดยมี บริษัท ธนะวงศ์กรุ๊ป จำกัด เป็นผู้รับจ้าง ผลการตรวจรับไม่มีปัญหาครับ</v>
      </c>
      <c r="M6" s="12"/>
    </row>
    <row r="7" spans="1:13" x14ac:dyDescent="0.25">
      <c r="A7" s="6">
        <v>6</v>
      </c>
      <c r="B7" s="7" t="s">
        <v>30</v>
      </c>
      <c r="C7" s="10" t="s">
        <v>12</v>
      </c>
      <c r="D7" s="7" t="s">
        <v>26</v>
      </c>
      <c r="E7" s="7" t="s">
        <v>31</v>
      </c>
      <c r="F7" s="7" t="s">
        <v>32</v>
      </c>
      <c r="G7" s="7" t="s">
        <v>33</v>
      </c>
      <c r="H7" s="11">
        <v>45631</v>
      </c>
      <c r="I7" s="11">
        <v>45810</v>
      </c>
      <c r="J7" s="8" t="str">
        <f t="shared" si="0"/>
        <v>ชร.1/68/2567 ลว. 3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3 ระหว่าง กม.72+425 - กม.72+625 โดยมี บริษัท ไร้ท์ทันเน็ลลิ่ง จำกัด เป็นผู้รับจ้าง</v>
      </c>
      <c r="K7" s="9" t="str">
        <f t="shared" si="1"/>
        <v>เรียน วว.ทล.2 ครับ ผอ.ขท.เชียงรายที่ 1 เป็นประธานตรวจรับงาน ชร.1/68/2567 ลว. 3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3 ระหว่าง กม.72+425 - กม.72+625 โดยมี บริษัท ไร้ท์ทันเน็ลลิ่ง จำกัด เป็นผู้รับจ้าง ผลการตรวจรับไม่มีปัญหาครับ</v>
      </c>
      <c r="M7" s="12"/>
    </row>
    <row r="8" spans="1:13" x14ac:dyDescent="0.25">
      <c r="A8" s="6">
        <v>7</v>
      </c>
      <c r="B8" s="7" t="s">
        <v>34</v>
      </c>
      <c r="C8" s="10" t="s">
        <v>12</v>
      </c>
      <c r="D8" s="7" t="s">
        <v>35</v>
      </c>
      <c r="E8" s="7" t="s">
        <v>36</v>
      </c>
      <c r="F8" s="7" t="s">
        <v>37</v>
      </c>
      <c r="G8" s="7" t="s">
        <v>38</v>
      </c>
      <c r="H8" s="11">
        <v>45638</v>
      </c>
      <c r="I8" s="11">
        <v>45817</v>
      </c>
      <c r="J8" s="8" t="str">
        <f t="shared" si="0"/>
        <v>ชร.1/69/2567 ลว. 11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2 ระหว่าง กม.70+150 - กม.70+350 โดยมี ห้างหุ้นส่วนจำกัด ดวงดีคอนกรีต เป็นผู้รับจ้าง</v>
      </c>
      <c r="K8" s="9" t="str">
        <f t="shared" si="1"/>
        <v>เรียน วว.ทล.2 ครับ ผอ.ขท.เชียงรายที่ 1 เป็นประธานตรวจรับงาน ชร.1/69/2567 ลว. 11 ธ.ค. 2567 งานจ้างก่อสร้างงบกลาง รายการเงินสำรองจ่ายเพื่อกรณีฉุกเฉินหรือจำเป็น งานก่อสร้างเพื่อพื้นฟูโครงสร้างพื้นฐานที่ได้รับความเสียหายจากอุทกภัยและภัยพิบัติ ทางหลวงหมายเลข 1150 ตอน ขุนแจ๋ - เวียงป่าเป้า ตอน 2 ระหว่าง กม.70+150 - กม.70+350 โดยมี ห้างหุ้นส่วนจำกัด ดวงดีคอนกรีต เป็นผู้รับจ้าง ผลการตรวจรับไม่มีปัญหาครับ</v>
      </c>
      <c r="M8" s="12"/>
    </row>
    <row r="9" spans="1:13" x14ac:dyDescent="0.25">
      <c r="A9" s="6">
        <v>8</v>
      </c>
      <c r="B9" s="7" t="s">
        <v>39</v>
      </c>
      <c r="C9" s="10" t="s">
        <v>12</v>
      </c>
      <c r="D9" s="7" t="s">
        <v>35</v>
      </c>
      <c r="E9" s="7" t="s">
        <v>40</v>
      </c>
      <c r="F9" s="7" t="s">
        <v>41</v>
      </c>
      <c r="G9" s="7" t="s">
        <v>42</v>
      </c>
      <c r="H9" s="11">
        <v>45637</v>
      </c>
      <c r="I9" s="11">
        <v>45816</v>
      </c>
      <c r="J9" s="8" t="str">
        <f t="shared" si="0"/>
        <v>ชร.1/70/2567 ลว. 11 ธ.ค. 2567 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2 ระหว่าง กม.22+640 - กม.22+760 โดยมี ห้างหุ้นส่วนจำกัด พัฒนานุภาพก่อสร้าง เป็นผู้รับจ้าง</v>
      </c>
      <c r="K9" s="9" t="str">
        <f t="shared" si="1"/>
        <v>เรียน วว.ทล.2 ครับ ผอ.ขท.เชียงรายที่ 1 เป็นประธานตรวจรับงาน ชร.1/70/2567 ลว. 11 ธ.ค. 2567 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2 ระหว่าง กม.22+640 - กม.22+760 โดยมี ห้างหุ้นส่วนจำกัด พัฒนานุภาพก่อสร้าง เป็นผู้รับจ้าง ผลการตรวจรับไม่มีปัญหาครับ</v>
      </c>
      <c r="M9" s="12"/>
    </row>
    <row r="10" spans="1:13" x14ac:dyDescent="0.25">
      <c r="A10" s="6">
        <v>9</v>
      </c>
      <c r="B10" s="7" t="s">
        <v>43</v>
      </c>
      <c r="C10" s="10" t="s">
        <v>12</v>
      </c>
      <c r="D10" s="7" t="s">
        <v>44</v>
      </c>
      <c r="E10" s="7" t="s">
        <v>40</v>
      </c>
      <c r="F10" s="7" t="s">
        <v>45</v>
      </c>
      <c r="G10" s="7" t="s">
        <v>46</v>
      </c>
      <c r="H10" s="11">
        <v>45640</v>
      </c>
      <c r="I10" s="11">
        <v>45819</v>
      </c>
      <c r="J10" s="8" t="str">
        <f t="shared" si="0"/>
        <v>ชร.1/72/2567 ลว. 13 ธ.ค. 2567 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1 ระหว่าง กม.19+350 - กม.19+550 โดยมี ห้างหุ้นส่วนจำกัด พัฒนานุภาพก่อสร้าง เป็นผู้รับจ้าง</v>
      </c>
      <c r="K10" s="9" t="str">
        <f t="shared" si="1"/>
        <v>เรียน วว.ทล.2 ครับ ผอ.ขท.เชียงรายที่ 1 เป็นประธานตรวจรับงาน ชร.1/72/2567 ลว. 13 ธ.ค. 2567 งานจ้างก่อสร้างงบกลาง รายการเงินสำรองจ่ายเพื่อกรณีฉุกเฉินหรือจำเป็น งานก่อสร้างเพื่อฟื้นฟูโครงสร้างพื้นฐานที่ได้รับความเสียหายจากอุทกภัยและภัยพิบัติ ทางหลวงหมายเลข 109 ตอน แม่สรวย - ห้วยป่าไร่ ตอน 1 ระหว่าง กม.19+350 - กม.19+550 โดยมี ห้างหุ้นส่วนจำกัด พัฒนานุภาพก่อสร้าง เป็นผู้รับจ้าง ผลการตรวจรับไม่มีปัญหาครับ</v>
      </c>
      <c r="M10" s="12"/>
    </row>
    <row r="11" spans="1:13" x14ac:dyDescent="0.25">
      <c r="A11" s="6">
        <v>10</v>
      </c>
      <c r="B11" s="7" t="s">
        <v>47</v>
      </c>
      <c r="C11" s="10" t="s">
        <v>12</v>
      </c>
      <c r="D11" s="7" t="s">
        <v>48</v>
      </c>
      <c r="E11" s="7" t="s">
        <v>49</v>
      </c>
      <c r="F11" s="7" t="s">
        <v>50</v>
      </c>
      <c r="G11" s="7" t="s">
        <v>51</v>
      </c>
      <c r="H11" s="11">
        <v>45673</v>
      </c>
      <c r="I11" s="11">
        <v>45792</v>
      </c>
      <c r="J11" s="8" t="str">
        <f t="shared" si="0"/>
        <v>ชร.1/6/2568 ลว. 15 ม.ค. 2568 งานบำรุงรักษาสะพาน ทางหลวงหมายเลข 1 ตอน แยกแม่กรณ์ - ห้วยพลู ระหว่าง กม.934+243 - กม.934+493 โดยมี บริษัท เวิร์ล บริดจ์ เทคโนโลยี จำกัด เป็นผู้รับจ้าง</v>
      </c>
      <c r="K11" s="9" t="str">
        <f t="shared" si="1"/>
        <v>เรียน วว.ทล.2 ครับ ผอ.ขท.เชียงรายที่ 1 เป็นประธานตรวจรับงาน ชร.1/6/2568 ลว. 15 ม.ค. 2568 งานบำรุงรักษาสะพาน ทางหลวงหมายเลข 1 ตอน แยกแม่กรณ์ - ห้วยพลู ระหว่าง กม.934+243 - กม.934+493 โดยมี บริษัท เวิร์ล บริดจ์ เทคโนโลยี จำกัด เป็นผู้รับจ้าง ผลการตรวจรับไม่มีปัญหาครับ</v>
      </c>
      <c r="M11" s="12"/>
    </row>
    <row r="12" spans="1:13" x14ac:dyDescent="0.25">
      <c r="A12" s="6">
        <v>11</v>
      </c>
      <c r="B12" s="7" t="s">
        <v>52</v>
      </c>
      <c r="C12" s="10" t="s">
        <v>12</v>
      </c>
      <c r="D12" s="7" t="s">
        <v>53</v>
      </c>
      <c r="E12" s="7" t="s">
        <v>14</v>
      </c>
      <c r="F12" s="7" t="s">
        <v>54</v>
      </c>
      <c r="G12" s="7" t="s">
        <v>55</v>
      </c>
      <c r="H12" s="11">
        <v>45685</v>
      </c>
      <c r="I12" s="11">
        <v>45804</v>
      </c>
      <c r="J12" s="8" t="str">
        <f t="shared" si="0"/>
        <v>ชร.1/19/2568 ลว. 27 ม.ค. 2568 กิจกรรมบูรณะโครงข่ายทางหลวงเพื่อมโยงระหว่างภาค ทางหลวงหมายเลข 1016 ตอน แม่จัน - กิ่วพร้าว ตอน 2 ระหว่าง กม.4+080 - กม.6+350 โดยมี ห้างหุ้นส่วนจำกัด เชียงรายสามชัย เป็นผู้รับจ้าง</v>
      </c>
      <c r="K12" s="9" t="str">
        <f t="shared" si="1"/>
        <v>เรียน วว.ทล.2 ครับ ผอ.ขท.เชียงรายที่ 1 เป็นประธานตรวจรับงาน ชร.1/19/2568 ลว. 27 ม.ค. 2568 กิจกรรมบูรณะโครงข่ายทางหลวงเพื่อมโยงระหว่างภาค ทางหลวงหมายเลข 1016 ตอน แม่จัน - กิ่วพร้าว ตอน 2 ระหว่าง กม.4+080 - กม.6+350 โดยมี ห้างหุ้นส่วนจำกัด เชียงรายสามชัย เป็นผู้รับจ้าง ผลการตรวจรับไม่มีปัญหาครับ</v>
      </c>
      <c r="M12" s="12"/>
    </row>
    <row r="13" spans="1:13" x14ac:dyDescent="0.25">
      <c r="A13" s="6">
        <v>12</v>
      </c>
      <c r="B13" s="7" t="s">
        <v>56</v>
      </c>
      <c r="C13" s="10" t="s">
        <v>12</v>
      </c>
      <c r="D13" s="7" t="s">
        <v>53</v>
      </c>
      <c r="E13" s="7" t="s">
        <v>14</v>
      </c>
      <c r="F13" s="7" t="s">
        <v>57</v>
      </c>
      <c r="G13" s="7" t="s">
        <v>58</v>
      </c>
      <c r="H13" s="11">
        <v>45685</v>
      </c>
      <c r="I13" s="11">
        <v>45774</v>
      </c>
      <c r="J13" s="8" t="str">
        <f t="shared" si="0"/>
        <v>ชร.1/20/2568 ลว. 27 ม.ค. 2568 งานปรับปรุงทางหลวงเพื่อส่งเสริมคุณภาพชีวิตขั้นพื้นฐาน ทางหลวงหมายเลข 1334 ตอน ผาบือ - ดอยช้างมูบ ระหว่าง กม.23+279 - กม.28+100 โดยมี ห้างหุ้นส่วนจำกัด เชียงรายสามชัย เป็นผู้รับจ้าง</v>
      </c>
      <c r="K13" s="9" t="str">
        <f t="shared" si="1"/>
        <v>เรียน วว.ทล.2 ครับ ผอ.ขท.เชียงรายที่ 1 เป็นประธานตรวจรับงาน ชร.1/20/2568 ลว. 27 ม.ค. 2568 งานปรับปรุงทางหลวงเพื่อส่งเสริมคุณภาพชีวิตขั้นพื้นฐาน ทางหลวงหมายเลข 1334 ตอน ผาบือ - ดอยช้างมูบ ระหว่าง กม.23+279 - กม.28+100 โดยมี ห้างหุ้นส่วนจำกัด เชียงรายสามชัย เป็นผู้รับจ้าง ผลการตรวจรับไม่มีปัญหาครับ</v>
      </c>
      <c r="M13" s="12"/>
    </row>
    <row r="14" spans="1:13" x14ac:dyDescent="0.25">
      <c r="A14" s="6">
        <v>13</v>
      </c>
      <c r="B14" s="7" t="s">
        <v>59</v>
      </c>
      <c r="C14" s="10" t="s">
        <v>12</v>
      </c>
      <c r="D14" s="7" t="s">
        <v>60</v>
      </c>
      <c r="E14" s="7" t="s">
        <v>40</v>
      </c>
      <c r="F14" s="7" t="s">
        <v>61</v>
      </c>
      <c r="G14" s="7" t="s">
        <v>62</v>
      </c>
      <c r="H14" s="11">
        <v>45686</v>
      </c>
      <c r="I14" s="11">
        <f>H14+120</f>
        <v>45806</v>
      </c>
      <c r="J14" s="8" t="str">
        <f t="shared" si="0"/>
        <v>ชร.1/25/2568 ลว. 29 ม.ค. 2568 งานบูรณะทางผิวแอสฟัลท์ ทางหลวงหมายเลข 107 ตอนควบคุม 0300 ตอน เมืองงาม - แม่จัน ระหว่าง กม.211+653 - กม.226+292 โดยมี ห้างหุ้นส่วนจำกัด พัฒนานุภาพก่อสร้าง เป็นผู้รับจ้าง</v>
      </c>
      <c r="K14" s="9" t="str">
        <f t="shared" si="1"/>
        <v>เรียน วว.ทล.2 ครับ ผอ.ขท.เชียงรายที่ 1 เป็นประธานตรวจรับงาน ชร.1/25/2568 ลว. 29 ม.ค. 2568 งานบูรณะทางผิวแอสฟัลท์ ทางหลวงหมายเลข 107 ตอนควบคุม 0300 ตอน เมืองงาม - แม่จัน ระหว่าง กม.211+653 - กม.226+292 โดยมี ห้างหุ้นส่วนจำกัด พัฒนานุภาพก่อสร้าง เป็นผู้รับจ้าง ผลการตรวจรับไม่มีปัญหาครับ</v>
      </c>
      <c r="M14" s="12"/>
    </row>
    <row r="15" spans="1:13" x14ac:dyDescent="0.25">
      <c r="A15" s="6">
        <v>14</v>
      </c>
      <c r="B15" s="7" t="s">
        <v>63</v>
      </c>
      <c r="C15" s="10" t="s">
        <v>12</v>
      </c>
      <c r="D15" s="7" t="s">
        <v>64</v>
      </c>
      <c r="E15" s="7" t="s">
        <v>65</v>
      </c>
      <c r="F15" s="7" t="s">
        <v>66</v>
      </c>
      <c r="G15" s="7" t="s">
        <v>67</v>
      </c>
      <c r="H15" s="11">
        <v>45688</v>
      </c>
      <c r="I15" s="11">
        <v>45867</v>
      </c>
      <c r="J15" s="8" t="str">
        <f t="shared" si="0"/>
        <v>ชร.1/26/2568 ลว. 30 ม.ค. 2568 งานกิจกรรมยกระดับความปลอดภัยจุดกลับรถในระดับเดียวกัน ทางหลวงหมายเลข 1 ตอน พาน - ร่องขุ่น ระหว่าง กม.903+870 - กม.904+380 โดยมี กิจการค้าร่วม เอส.ซี.เอส.2568 เป็นผู้รับจ้าง</v>
      </c>
      <c r="K15" s="9" t="str">
        <f t="shared" si="1"/>
        <v>เรียน วว.ทล.2 ครับ ผอ.ขท.เชียงรายที่ 1 เป็นประธานตรวจรับงาน ชร.1/26/2568 ลว. 30 ม.ค. 2568 งานกิจกรรมยกระดับความปลอดภัยจุดกลับรถในระดับเดียวกัน ทางหลวงหมายเลข 1 ตอน พาน - ร่องขุ่น ระหว่าง กม.903+870 - กม.904+380 โดยมี กิจการค้าร่วม เอส.ซี.เอส.2568 เป็นผู้รับจ้าง ผลการตรวจรับไม่มีปัญหาครับ</v>
      </c>
      <c r="M15" s="12"/>
    </row>
    <row r="16" spans="1:13" x14ac:dyDescent="0.25">
      <c r="A16" s="6">
        <v>15</v>
      </c>
      <c r="B16" s="7" t="s">
        <v>68</v>
      </c>
      <c r="C16" s="10" t="s">
        <v>12</v>
      </c>
      <c r="D16" s="7" t="s">
        <v>64</v>
      </c>
      <c r="E16" s="7" t="s">
        <v>69</v>
      </c>
      <c r="F16" s="7" t="s">
        <v>70</v>
      </c>
      <c r="G16" s="7" t="s">
        <v>71</v>
      </c>
      <c r="H16" s="11">
        <v>45688</v>
      </c>
      <c r="I16" s="11">
        <v>45777</v>
      </c>
      <c r="J16" s="8" t="str">
        <f t="shared" si="0"/>
        <v>ชร.1/29/2568 ลว. 30 ม.ค. 2568 โครงการจ้างเหมา กิจกรรมบูรณะทางผิวแสฟัลท์ ทางหลวงหมายเลข 1130 ตอนควบคุม 0100 ตอน ป่าซาง - กิ่วสะไต ระหว่าง กม.36+980 - กม.39+610  โดยมี ห้างหุ้นส่วนจำกัด ธนะชัยแอสโซซิเอท เป็นผู้รับจ้าง</v>
      </c>
      <c r="K16" s="9" t="str">
        <f t="shared" si="1"/>
        <v>เรียน วว.ทล.2 ครับ ผอ.ขท.เชียงรายที่ 1 เป็นประธานตรวจรับงาน ชร.1/29/2568 ลว. 30 ม.ค. 2568 โครงการจ้างเหมา กิจกรรมบูรณะทางผิวแสฟัลท์ ทางหลวงหมายเลข 1130 ตอนควบคุม 0100 ตอน ป่าซาง - กิ่วสะไต ระหว่าง กม.36+980 - กม.39+610  โดยมี ห้างหุ้นส่วนจำกัด ธนะชัยแอสโซซิเอท เป็นผู้รับจ้าง ผลการตรวจรับไม่มีปัญหาครับ</v>
      </c>
      <c r="M16" s="12"/>
    </row>
    <row r="17" spans="1:13" x14ac:dyDescent="0.25">
      <c r="A17" s="6">
        <v>16</v>
      </c>
      <c r="B17" s="7" t="s">
        <v>72</v>
      </c>
      <c r="C17" s="10" t="s">
        <v>12</v>
      </c>
      <c r="D17" s="7" t="s">
        <v>64</v>
      </c>
      <c r="E17" s="7" t="s">
        <v>73</v>
      </c>
      <c r="F17" s="7" t="s">
        <v>74</v>
      </c>
      <c r="G17" s="7" t="s">
        <v>75</v>
      </c>
      <c r="H17" s="11">
        <v>45688</v>
      </c>
      <c r="I17" s="11">
        <v>45867</v>
      </c>
      <c r="J17" s="8" t="str">
        <f t="shared" si="0"/>
        <v>ชร.1/31/2568 ลว. 30 ม.ค. 2568 กิจกรรมบูรณะโครงข่ายทางหลวงเชื่อมโยงระหว่างภาค ทางหลวงหมายเลข 1 ตอน ร่องขุ่น - แยกแม่กรณ์ ระหว่าง กม.928+035 - กม.928+815 โดยมี บริษัท หาญเจริญเอนเตอร์ไพรส์เชียงราย จำกัด เป็นผู้รับจ้าง</v>
      </c>
      <c r="K17" s="9" t="str">
        <f t="shared" si="1"/>
        <v>เรียน วว.ทล.2 ครับ ผอ.ขท.เชียงรายที่ 1 เป็นประธานตรวจรับงาน ชร.1/31/2568 ลว. 30 ม.ค. 2568 กิจกรรมบูรณะโครงข่ายทางหลวงเชื่อมโยงระหว่างภาค ทางหลวงหมายเลข 1 ตอน ร่องขุ่น - แยกแม่กรณ์ ระหว่าง กม.928+035 - กม.928+815 โดยมี บริษัท หาญเจริญเอนเตอร์ไพรส์เชียงราย จำกัด เป็นผู้รับจ้าง ผลการตรวจรับไม่มีปัญหาครับ</v>
      </c>
      <c r="M17" s="12"/>
    </row>
    <row r="18" spans="1:13" x14ac:dyDescent="0.25">
      <c r="A18" s="6">
        <v>17</v>
      </c>
      <c r="B18" s="7" t="s">
        <v>76</v>
      </c>
      <c r="C18" s="10" t="s">
        <v>12</v>
      </c>
      <c r="D18" s="7" t="s">
        <v>64</v>
      </c>
      <c r="E18" s="7" t="s">
        <v>73</v>
      </c>
      <c r="F18" s="7" t="s">
        <v>77</v>
      </c>
      <c r="G18" s="7" t="s">
        <v>78</v>
      </c>
      <c r="H18" s="11">
        <v>45688</v>
      </c>
      <c r="I18" s="11">
        <v>45867</v>
      </c>
      <c r="J18" s="8" t="str">
        <f t="shared" si="0"/>
        <v>ชร.1/32/2568 ลว. 30 ม.ค. 2568 กิจกรรมบูรณะโครงข่ายทางหลวงเชื่อมโยงระหว่างภาค ทางหลวงหมายเลข 1211 ตอน หนองเหียง - สวนดอก ระหว่าง กม.2+520 - กม.4+825 โดยมี บริษัท หาญเจริญเอนเตอร์ไพรส์เชียงราย จำกัด เป็นผู้รับจ้าง</v>
      </c>
      <c r="K18" s="9" t="str">
        <f t="shared" si="1"/>
        <v>เรียน วว.ทล.2 ครับ ผอ.ขท.เชียงรายที่ 1 เป็นประธานตรวจรับงาน ชร.1/32/2568 ลว. 30 ม.ค. 2568 กิจกรรมบูรณะโครงข่ายทางหลวงเชื่อมโยงระหว่างภาค ทางหลวงหมายเลข 1211 ตอน หนองเหียง - สวนดอก ระหว่าง กม.2+520 - กม.4+825 โดยมี บริษัท หาญเจริญเอนเตอร์ไพรส์เชียงราย จำกัด เป็นผู้รับจ้าง ผลการตรวจรับไม่มีปัญหาครับ</v>
      </c>
      <c r="M18" s="12"/>
    </row>
    <row r="19" spans="1:13" x14ac:dyDescent="0.25">
      <c r="A19" s="6">
        <v>18</v>
      </c>
      <c r="B19" s="7" t="s">
        <v>79</v>
      </c>
      <c r="C19" s="10" t="s">
        <v>12</v>
      </c>
      <c r="D19" s="7" t="s">
        <v>80</v>
      </c>
      <c r="E19" s="7" t="s">
        <v>81</v>
      </c>
      <c r="F19" s="7" t="s">
        <v>82</v>
      </c>
      <c r="G19" s="7" t="s">
        <v>83</v>
      </c>
      <c r="H19" s="11">
        <v>45689</v>
      </c>
      <c r="I19" s="11">
        <v>45778</v>
      </c>
      <c r="J19" s="8" t="str">
        <f t="shared" si="0"/>
        <v>ชร.1/34/2568 ลว. 31 ม.ค. 2568 งานเสริมผิวแอสฟัลต์ ทางหลวงหมายเลข 1190 ตอน จำบอน - เหมืองง่า ตอน 3 ระหว่าง กม.0+000 - กม.3+350 โดยมี บริษัท เพพ์ คอนสตรัคชั่นส์ จำกัด เป็นผู้รับจ้าง</v>
      </c>
      <c r="K19" s="9" t="str">
        <f t="shared" si="1"/>
        <v>เรียน วว.ทล.2 ครับ ผอ.ขท.เชียงรายที่ 1 เป็นประธานตรวจรับงาน ชร.1/34/2568 ลว. 31 ม.ค. 2568 งานเสริมผิวแอสฟัลต์ ทางหลวงหมายเลข 1190 ตอน จำบอน - เหมืองง่า ตอน 3 ระหว่าง กม.0+000 - กม.3+350 โดยมี บริษัท เพพ์ คอนสตรัคชั่นส์ จำกัด เป็นผู้รับจ้าง ผลการตรวจรับไม่มีปัญหาครับ</v>
      </c>
      <c r="M19" s="12"/>
    </row>
    <row r="20" spans="1:13" x14ac:dyDescent="0.25">
      <c r="A20" s="6">
        <v>19</v>
      </c>
      <c r="B20" s="7" t="s">
        <v>84</v>
      </c>
      <c r="C20" s="10" t="s">
        <v>12</v>
      </c>
      <c r="D20" s="7" t="s">
        <v>80</v>
      </c>
      <c r="E20" s="7" t="s">
        <v>85</v>
      </c>
      <c r="F20" s="7" t="s">
        <v>86</v>
      </c>
      <c r="G20" s="7" t="s">
        <v>87</v>
      </c>
      <c r="H20" s="11">
        <v>45689</v>
      </c>
      <c r="I20" s="11">
        <v>45778</v>
      </c>
      <c r="J20" s="8" t="str">
        <f t="shared" si="0"/>
        <v>ชร.1/39/2568 ลว. 31 ม.ค. 2568 งานจ้างก่อสร้างโครงการก่อสร้างงานจ้างเหมาทำการก่อสร้างงานเสริมผิวแอสฟัลต์ ทางหลวงหมายเลข 1190 ตอน จำบอน - เหมืองง่า ตอน 4 ระหว่าง กม.16+400 - กม.22+325 โดยมี ห้างหุ้นส่วนจำกัด เชียงรายทรายเพชร เป็นผู้รับจ้าง</v>
      </c>
      <c r="K20" s="9" t="str">
        <f t="shared" si="1"/>
        <v>เรียน วว.ทล.2 ครับ ผอ.ขท.เชียงรายที่ 1 เป็นประธานตรวจรับงาน ชร.1/39/2568 ลว. 31 ม.ค. 2568 งานจ้างก่อสร้างโครงการก่อสร้างงานจ้างเหมาทำการก่อสร้างงานเสริมผิวแอสฟัลต์ ทางหลวงหมายเลข 1190 ตอน จำบอน - เหมืองง่า ตอน 4 ระหว่าง กม.16+400 - กม.22+325 โดยมี ห้างหุ้นส่วนจำกัด เชียงรายทรายเพชร เป็นผู้รับจ้าง ผลการตรวจรับไม่มีปัญหาครับ</v>
      </c>
      <c r="M20" s="12"/>
    </row>
    <row r="21" spans="1:13" x14ac:dyDescent="0.25">
      <c r="A21" s="6">
        <v>20</v>
      </c>
      <c r="B21" s="7" t="s">
        <v>88</v>
      </c>
      <c r="C21" s="10" t="s">
        <v>12</v>
      </c>
      <c r="D21" s="7" t="s">
        <v>80</v>
      </c>
      <c r="E21" s="7" t="s">
        <v>85</v>
      </c>
      <c r="F21" s="7" t="s">
        <v>89</v>
      </c>
      <c r="G21" s="7" t="s">
        <v>90</v>
      </c>
      <c r="H21" s="11">
        <v>45688</v>
      </c>
      <c r="I21" s="11">
        <f>H21+180</f>
        <v>45868</v>
      </c>
      <c r="J21" s="8" t="str">
        <f t="shared" si="0"/>
        <v>ชร.1/40/2568 ลว. 31 ม.ค. 2568 งานปรับปรุงทางหลวงเพื่อส่งเสริมคุณภาพชีวิตขั้นพื้นฐาน ทางหลวงหมายเลข 1338 ตอน ขาแหย่ง -ป่าเมี่ยง ระหว่าง กม.1+500 - กม.4+300 และ กม.12+355 - กม.13+500 โดยมี ห้างหุ้นส่วนจำกัด เชียงรายทรายเพชร เป็นผู้รับจ้าง</v>
      </c>
      <c r="K21" s="9" t="str">
        <f t="shared" si="1"/>
        <v>เรียน วว.ทล.2 ครับ ผอ.ขท.เชียงรายที่ 1 เป็นประธานตรวจรับงาน ชร.1/40/2568 ลว. 31 ม.ค. 2568 งานปรับปรุงทางหลวงเพื่อส่งเสริมคุณภาพชีวิตขั้นพื้นฐาน ทางหลวงหมายเลข 1338 ตอน ขาแหย่ง -ป่าเมี่ยง ระหว่าง กม.1+500 - กม.4+300 และ กม.12+355 - กม.13+500 โดยมี ห้างหุ้นส่วนจำกัด เชียงรายทรายเพชร เป็นผู้รับจ้าง ผลการตรวจรับไม่มีปัญหาครับ</v>
      </c>
      <c r="M21" s="12"/>
    </row>
    <row r="22" spans="1:13" x14ac:dyDescent="0.25">
      <c r="A22" s="6">
        <v>21</v>
      </c>
      <c r="B22" s="7" t="s">
        <v>91</v>
      </c>
      <c r="C22" s="10" t="s">
        <v>12</v>
      </c>
      <c r="D22" s="7" t="s">
        <v>80</v>
      </c>
      <c r="E22" s="7" t="s">
        <v>69</v>
      </c>
      <c r="F22" s="7" t="s">
        <v>92</v>
      </c>
      <c r="G22" s="7" t="s">
        <v>93</v>
      </c>
      <c r="H22" s="11">
        <v>45689</v>
      </c>
      <c r="I22" s="11">
        <v>45778</v>
      </c>
      <c r="J22" s="8" t="str">
        <f t="shared" si="0"/>
        <v>ชร.1/41/2568 ลว. 31 ม.ค. 2568 งานปรับปรุงทางหลวงเพื่อส่งเสริมคุณภาพชีวิตขั้นพื้นฐาน ทางหลวงหมายเลข 1150 ตอน ขุนแจ๋ - เวียงป่าเป้า ระหว่าง กม.64+325 - กม.68+750 โดยมี ห้างหุ้นส่วนจำกัด ธนะชัยแอสโซซิเอท เป็นผู้รับจ้าง</v>
      </c>
      <c r="K22" s="9" t="str">
        <f t="shared" si="1"/>
        <v>เรียน วว.ทล.2 ครับ ผอ.ขท.เชียงรายที่ 1 เป็นประธานตรวจรับงาน ชร.1/41/2568 ลว. 31 ม.ค. 2568 งานปรับปรุงทางหลวงเพื่อส่งเสริมคุณภาพชีวิตขั้นพื้นฐาน ทางหลวงหมายเลข 1150 ตอน ขุนแจ๋ - เวียงป่าเป้า ระหว่าง กม.64+325 - กม.68+750 โดยมี ห้างหุ้นส่วนจำกัด ธนะชัยแอสโซซิเอท เป็นผู้รับจ้าง ผลการตรวจรับไม่มีปัญหาครับ</v>
      </c>
      <c r="M22" s="12"/>
    </row>
    <row r="23" spans="1:13" x14ac:dyDescent="0.25">
      <c r="A23" s="6">
        <v>22</v>
      </c>
      <c r="B23" s="7" t="s">
        <v>94</v>
      </c>
      <c r="C23" s="10" t="s">
        <v>12</v>
      </c>
      <c r="D23" s="7" t="s">
        <v>95</v>
      </c>
      <c r="E23" s="7" t="s">
        <v>96</v>
      </c>
      <c r="F23" s="7" t="s">
        <v>97</v>
      </c>
      <c r="G23" s="7" t="s">
        <v>98</v>
      </c>
      <c r="H23" s="11">
        <v>45692</v>
      </c>
      <c r="I23" s="11">
        <f>+H23+180</f>
        <v>45872</v>
      </c>
      <c r="J23" s="8" t="str">
        <f t="shared" si="0"/>
        <v>ชร.1/48/2568 ลว. 18 ก.พ. 2568 งานยกระดับความปลอดภัยบริเวณทางแยกขนาดใหญ่ โดยปรับปรุงโครงสร้างทาง ทางหลวงหมายเลข 123 ตอน ทางเลี่ยงเมืองแม่สาย ระหว่าง กม.5+070 - กม.5+450 โดยมี บริษัท เชียงรายแลนด์แอสโซซิเอทส์ จำกัด เป็นผู้รับจ้าง</v>
      </c>
      <c r="K23" s="9" t="str">
        <f t="shared" si="1"/>
        <v>เรียน วว.ทล.2 ครับ ผอ.ขท.เชียงรายที่ 1 เป็นประธานตรวจรับงาน ชร.1/48/2568 ลว. 18 ก.พ. 2568 งานยกระดับความปลอดภัยบริเวณทางแยกขนาดใหญ่ โดยปรับปรุงโครงสร้างทาง ทางหลวงหมายเลข 123 ตอน ทางเลี่ยงเมืองแม่สาย ระหว่าง กม.5+070 - กม.5+450 โดยมี บริษัท เชียงรายแลนด์แอสโซซิเอทส์ จำกัด เป็นผู้รับจ้าง ผลการตรวจรับไม่มีปัญหาครับ</v>
      </c>
      <c r="M23" s="12"/>
    </row>
    <row r="24" spans="1:13" x14ac:dyDescent="0.25">
      <c r="A24" s="6">
        <v>23</v>
      </c>
      <c r="B24" s="7" t="s">
        <v>99</v>
      </c>
      <c r="C24" s="10" t="s">
        <v>12</v>
      </c>
      <c r="D24" s="7" t="s">
        <v>95</v>
      </c>
      <c r="E24" s="7" t="s">
        <v>100</v>
      </c>
      <c r="F24" s="7" t="s">
        <v>101</v>
      </c>
      <c r="G24" s="7" t="s">
        <v>102</v>
      </c>
      <c r="H24" s="11">
        <v>45699</v>
      </c>
      <c r="I24" s="11">
        <v>45878</v>
      </c>
      <c r="J24" s="8" t="str">
        <f t="shared" si="0"/>
        <v>ชร.1/49/2568 ลว. 18 ก.พ. 2568 งานฟื้นฟูทางหลวง ทางหลวงหมายเลข 109 ตอน แม่สรวย - ห้วยป่าไร่ ตอน 4 ระหว่าง กม.19+550 - กม.19+750 โดยมี ห้างหุ้นส่วนจำกัด เรืองเศรษฐ เป็นผู้รับจ้าง</v>
      </c>
      <c r="K24" s="9" t="str">
        <f t="shared" si="1"/>
        <v>เรียน วว.ทล.2 ครับ ผอ.ขท.เชียงรายที่ 1 เป็นประธานตรวจรับงาน ชร.1/49/2568 ลว. 18 ก.พ. 2568 งานฟื้นฟูทางหลวง ทางหลวงหมายเลข 109 ตอน แม่สรวย - ห้วยป่าไร่ ตอน 4 ระหว่าง กม.19+550 - กม.19+750 โดยมี ห้างหุ้นส่วนจำกัด เรืองเศรษฐ เป็นผู้รับจ้าง ผลการตรวจรับไม่มีปัญหาครับ</v>
      </c>
      <c r="M24" s="12"/>
    </row>
    <row r="25" spans="1:13" ht="13.9" customHeight="1" x14ac:dyDescent="0.25">
      <c r="A25" s="6">
        <v>24</v>
      </c>
      <c r="B25" s="7" t="s">
        <v>103</v>
      </c>
      <c r="C25" s="10" t="s">
        <v>12</v>
      </c>
      <c r="D25" s="7" t="s">
        <v>104</v>
      </c>
      <c r="E25" s="7" t="s">
        <v>105</v>
      </c>
      <c r="F25" s="7" t="s">
        <v>106</v>
      </c>
      <c r="G25" s="7" t="s">
        <v>107</v>
      </c>
      <c r="H25" s="11">
        <v>45706</v>
      </c>
      <c r="I25" s="11">
        <v>45885</v>
      </c>
      <c r="J25" s="8" t="str">
        <f t="shared" si="0"/>
        <v>ชร.1/51/2568 ลว. 17 ก.พ. 2568 งานฟื้นฟูทางหลวง ทางหลวงหมายเลข 1388 ตอน ห้วยน้ำขุ่น - พระตำหนักดอยตุง ระหว่าง กม.4+725 - กม.5+225 โดยมี บริษัท ภาคเหนือวัสดุ จำกัด เป็นผู้รับจ้าง</v>
      </c>
      <c r="K25" s="9" t="str">
        <f t="shared" si="1"/>
        <v>เรียน วว.ทล.2 ครับ ผอ.ขท.เชียงรายที่ 1 เป็นประธานตรวจรับงาน ชร.1/51/2568 ลว. 17 ก.พ. 2568 งานฟื้นฟูทางหลวง ทางหลวงหมายเลข 1388 ตอน ห้วยน้ำขุ่น - พระตำหนักดอยตุง ระหว่าง กม.4+725 - กม.5+225 โดยมี บริษัท ภาคเหนือวัสดุ จำกัด เป็นผู้รับจ้าง ผลการตรวจรับไม่มีปัญหาครับ</v>
      </c>
      <c r="L25" s="13"/>
      <c r="M25" s="12"/>
    </row>
    <row r="26" spans="1:13" x14ac:dyDescent="0.25">
      <c r="A26" s="6">
        <v>25</v>
      </c>
      <c r="B26" s="7" t="s">
        <v>108</v>
      </c>
      <c r="C26" s="10" t="s">
        <v>12</v>
      </c>
      <c r="D26" s="7" t="s">
        <v>95</v>
      </c>
      <c r="E26" s="7" t="s">
        <v>85</v>
      </c>
      <c r="F26" s="7" t="s">
        <v>109</v>
      </c>
      <c r="G26" s="7" t="s">
        <v>110</v>
      </c>
      <c r="H26" s="11">
        <v>45707</v>
      </c>
      <c r="I26" s="11">
        <v>45886</v>
      </c>
      <c r="J26" s="8" t="str">
        <f t="shared" si="0"/>
        <v>ชร.1/52/2568 ลว. 18 ก.พ. 2568 โครงการก่อสร้างโครงข่ายทางหลวงแผ่นดิน กิจกรรมก่อสร้างเพื่อมประสิทธิภาพทางหลวง งานก่อสร้างเพิ่มประสิทธิภาพทางหลวง ทางหลวงหมายเลข 1190 ตอน จำบอน - เหมืองง่า ระหว่าง กม.8+075 - กม.9+875 โดยมี ห้างหุ้นส่วนจำกัด เชียงรายทรายเพชร เป็นผู้รับจ้าง</v>
      </c>
      <c r="K26" s="9" t="str">
        <f t="shared" si="1"/>
        <v>เรียน วว.ทล.2 ครับ ผอ.ขท.เชียงรายที่ 1 เป็นประธานตรวจรับงาน ชร.1/52/2568 ลว. 18 ก.พ. 2568 โครงการก่อสร้างโครงข่ายทางหลวงแผ่นดิน กิจกรรมก่อสร้างเพื่อมประสิทธิภาพทางหลวง งานก่อสร้างเพิ่มประสิทธิภาพทางหลวง ทางหลวงหมายเลข 1190 ตอน จำบอน - เหมืองง่า ระหว่าง กม.8+075 - กม.9+875 โดยมี ห้างหุ้นส่วนจำกัด เชียงรายทรายเพชร เป็นผู้รับจ้าง ผลการตรวจรับไม่มีปัญหาครับ</v>
      </c>
      <c r="M26" s="12"/>
    </row>
    <row r="27" spans="1:13" x14ac:dyDescent="0.25">
      <c r="A27" s="6">
        <v>26</v>
      </c>
      <c r="B27" s="7" t="s">
        <v>111</v>
      </c>
      <c r="C27" s="10" t="s">
        <v>12</v>
      </c>
      <c r="D27" s="7" t="s">
        <v>95</v>
      </c>
      <c r="E27" s="7" t="s">
        <v>36</v>
      </c>
      <c r="F27" s="7" t="s">
        <v>112</v>
      </c>
      <c r="G27" s="7" t="s">
        <v>113</v>
      </c>
      <c r="H27" s="11">
        <v>45707</v>
      </c>
      <c r="I27" s="11">
        <v>45886</v>
      </c>
      <c r="J27" s="8" t="str">
        <f t="shared" si="0"/>
        <v>ชร.1/53/2568 ลว. 18 ก.พ. 2568 งานฟื้นฟูทางหลวง ทางหลวงหมายเลข 1150 ตอน ขุนแจ๋ - เวียงป่าเป้า ตอน 3 ระหว่าง กม.70+525 - กม.70+600 โดยมี ห้างหุ้นส่วนจำกัด ดวงดีคอนกรีต เป็นผู้รับจ้าง</v>
      </c>
      <c r="K27" s="9" t="str">
        <f t="shared" si="1"/>
        <v>เรียน วว.ทล.2 ครับ ผอ.ขท.เชียงรายที่ 1 เป็นประธานตรวจรับงาน ชร.1/53/2568 ลว. 18 ก.พ. 2568 งานฟื้นฟูทางหลวง ทางหลวงหมายเลข 1150 ตอน ขุนแจ๋ - เวียงป่าเป้า ตอน 3 ระหว่าง กม.70+525 - กม.70+600 โดยมี ห้างหุ้นส่วนจำกัด ดวงดีคอนกรีต เป็นผู้รับจ้าง ผลการตรวจรับไม่มีปัญหาครับ</v>
      </c>
      <c r="M27" s="12"/>
    </row>
    <row r="28" spans="1:13" x14ac:dyDescent="0.25">
      <c r="A28" s="6">
        <v>27</v>
      </c>
      <c r="B28" s="7" t="s">
        <v>114</v>
      </c>
      <c r="C28" s="10" t="s">
        <v>12</v>
      </c>
      <c r="D28" s="7" t="s">
        <v>115</v>
      </c>
      <c r="E28" s="7" t="s">
        <v>14</v>
      </c>
      <c r="F28" s="7" t="s">
        <v>116</v>
      </c>
      <c r="G28" s="7" t="s">
        <v>117</v>
      </c>
      <c r="H28" s="11">
        <v>45709</v>
      </c>
      <c r="I28" s="11">
        <f>+H28+180</f>
        <v>45889</v>
      </c>
      <c r="J28" s="8" t="str">
        <f t="shared" si="0"/>
        <v>ชร.1/54/2568 ลว. 21 ก.พ. 2568 โครงการก่อสร้างโครงข่ายทางหลวงแผ่นดิน กิจกรรมก่อสร้างทางหลวงพัฒนาพื้นระดบภาค ทางหลวงหมายเลข 123 ตอน ทางเลี่ยงเมืองแม่สาย ระหว่าง กม.0+200 - กม.1+050 โดยมี ห้างหุ้นส่วนจำกัด เชียงรายสามชัย เป็นผู้รับจ้าง</v>
      </c>
      <c r="K28" s="9" t="str">
        <f t="shared" si="1"/>
        <v>เรียน วว.ทล.2 ครับ ผอ.ขท.เชียงรายที่ 1 เป็นประธานตรวจรับงาน ชร.1/54/2568 ลว. 21 ก.พ. 2568 โครงการก่อสร้างโครงข่ายทางหลวงแผ่นดิน กิจกรรมก่อสร้างทางหลวงพัฒนาพื้นระดบภาค ทางหลวงหมายเลข 123 ตอน ทางเลี่ยงเมืองแม่สาย ระหว่าง กม.0+200 - กม.1+050 โดยมี ห้างหุ้นส่วนจำกัด เชียงรายสามชัย เป็นผู้รับจ้าง ผลการตรวจรับไม่มีปัญหาครับ</v>
      </c>
      <c r="M28" s="12"/>
    </row>
    <row r="29" spans="1:13" x14ac:dyDescent="0.25">
      <c r="A29" s="6">
        <v>28</v>
      </c>
      <c r="B29" s="7" t="s">
        <v>118</v>
      </c>
      <c r="C29" s="10" t="s">
        <v>12</v>
      </c>
      <c r="D29" s="7" t="s">
        <v>119</v>
      </c>
      <c r="E29" s="7" t="s">
        <v>120</v>
      </c>
      <c r="F29" s="7" t="s">
        <v>121</v>
      </c>
      <c r="G29" s="7" t="s">
        <v>122</v>
      </c>
      <c r="H29" s="11">
        <v>45730</v>
      </c>
      <c r="I29" s="11">
        <v>45909</v>
      </c>
      <c r="J29" s="8" t="str">
        <f t="shared" si="0"/>
        <v>ชร.1/60/2568 ลว. 13 มี.ค. 2568 กิจกรรมอำนวยความปลอดภัยทางถนน ประจำปี 2568 งานปรับปรุงจุดเสี่ยงและบริเวณอันตรายบนทางหลวง งานปรับปรุงจุดเสี่ยงและบริเวณอันตรายบนทางหลวงโดยปรับปรุงกายภาพ ทางหลวงหมายเลข 1152 ตอน หัวดอย - บ้านดอน ระหว่าง กม.18+300 - กม.19+000 โดยมี กิจการค้าร่วม ทีพี เป็นผู้รับจ้าง</v>
      </c>
      <c r="K29" s="9" t="str">
        <f t="shared" si="1"/>
        <v>เรียน วว.ทล.2 ครับ ผอ.ขท.เชียงรายที่ 1 เป็นประธานตรวจรับงาน ชร.1/60/2568 ลว. 13 มี.ค. 2568 กิจกรรมอำนวยความปลอดภัยทางถนน ประจำปี 2568 งานปรับปรุงจุดเสี่ยงและบริเวณอันตรายบนทางหลวง งานปรับปรุงจุดเสี่ยงและบริเวณอันตรายบนทางหลวงโดยปรับปรุงกายภาพ ทางหลวงหมายเลข 1152 ตอน หัวดอย - บ้านดอน ระหว่าง กม.18+300 - กม.19+000 โดยมี กิจการค้าร่วม ทีพี เป็นผู้รับจ้าง ผลการตรวจรับไม่มีปัญหาครับ</v>
      </c>
      <c r="M29" s="12"/>
    </row>
    <row r="30" spans="1:13" x14ac:dyDescent="0.25">
      <c r="A30" s="6">
        <v>29</v>
      </c>
      <c r="B30" s="7" t="s">
        <v>123</v>
      </c>
      <c r="C30" s="10" t="s">
        <v>12</v>
      </c>
      <c r="D30" s="7" t="s">
        <v>124</v>
      </c>
      <c r="E30" s="7" t="s">
        <v>69</v>
      </c>
      <c r="F30" s="7" t="s">
        <v>125</v>
      </c>
      <c r="G30" s="7" t="s">
        <v>126</v>
      </c>
      <c r="H30" s="11">
        <v>45734</v>
      </c>
      <c r="I30" s="11">
        <v>45823</v>
      </c>
      <c r="J30" s="8" t="str">
        <f t="shared" si="0"/>
        <v>ชร.1/61/2568 ลว. 17 มี.ค. 2568 โครงการส่งเสริมธุรกิจการค้าการลงทุนเชื่อมโยงการค้าชายแดนสู่จุดศูนย์กลางการค้าของภูมิภาคกิจกรรมหลัก การพัฒนาเส้นทางและระบบ Logistics กิจกรรมย่อย ปรับปรุงผิวจราจร ทางหลวงหมายเลข 1209 ตอนควบคุม 0100 ตอน บ้านเด่น - ท่าข้าวเปลือก ระหว่าง กม.25+900 - กม.26+950 โดยมี ห้างหุ้นส่วนจำกัด ธนะชัยแอสโซซิเอท เป็นผู้รับจ้าง</v>
      </c>
      <c r="K30" s="9" t="str">
        <f t="shared" si="1"/>
        <v>เรียน วว.ทล.2 ครับ ผอ.ขท.เชียงรายที่ 1 เป็นประธานตรวจรับงาน ชร.1/61/2568 ลว. 17 มี.ค. 2568 โครงการส่งเสริมธุรกิจการค้าการลงทุนเชื่อมโยงการค้าชายแดนสู่จุดศูนย์กลางการค้าของภูมิภาคกิจกรรมหลัก การพัฒนาเส้นทางและระบบ Logistics กิจกรรมย่อย ปรับปรุงผิวจราจร ทางหลวงหมายเลข 1209 ตอนควบคุม 0100 ตอน บ้านเด่น - ท่าข้าวเปลือก ระหว่าง กม.25+900 - กม.26+950 โดยมี ห้างหุ้นส่วนจำกัด ธนะชัยแอสโซซิเอท เป็นผู้รับจ้าง ผลการตรวจรับไม่มีปัญหาครับ</v>
      </c>
      <c r="M30" s="12"/>
    </row>
    <row r="31" spans="1:13" x14ac:dyDescent="0.25">
      <c r="A31" s="6">
        <v>30</v>
      </c>
      <c r="B31" s="7" t="s">
        <v>127</v>
      </c>
      <c r="C31" s="10" t="s">
        <v>12</v>
      </c>
      <c r="D31" s="7" t="s">
        <v>128</v>
      </c>
      <c r="E31" s="7" t="s">
        <v>105</v>
      </c>
      <c r="F31" s="7" t="s">
        <v>129</v>
      </c>
      <c r="G31" s="7" t="s">
        <v>130</v>
      </c>
      <c r="H31" s="11">
        <v>45743</v>
      </c>
      <c r="I31" s="11">
        <v>45922</v>
      </c>
      <c r="J31" s="8" t="str">
        <f t="shared" si="0"/>
        <v>ชร.1/62/2568 ลว. 26 มี.ค. 2568 งานฟื้นฟูทางหลวง ทางหลวงหมายเลข 1150 ตอน ขุนแจ๋ - เวียงป่าเป้า ตอน 2 ระหว่าง กม.60+670 - กม.60+720 โดยมี บริษัท ภาคเหนือวัสดุ จำกัด เป็นผู้รับจ้าง</v>
      </c>
      <c r="K31" s="9" t="str">
        <f t="shared" si="1"/>
        <v>เรียน วว.ทล.2 ครับ ผอ.ขท.เชียงรายที่ 1 เป็นประธานตรวจรับงาน ชร.1/62/2568 ลว. 26 มี.ค. 2568 งานฟื้นฟูทางหลวง ทางหลวงหมายเลข 1150 ตอน ขุนแจ๋ - เวียงป่าเป้า ตอน 2 ระหว่าง กม.60+670 - กม.60+720 โดยมี บริษัท ภาคเหนือวัสดุ จำกัด เป็นผู้รับจ้าง ผลการตรวจรับไม่มีปัญหาครับ</v>
      </c>
      <c r="M31" s="12"/>
    </row>
    <row r="32" spans="1:13" x14ac:dyDescent="0.25">
      <c r="A32" s="6">
        <v>31</v>
      </c>
      <c r="B32" s="7" t="s">
        <v>131</v>
      </c>
      <c r="C32" s="10" t="s">
        <v>12</v>
      </c>
      <c r="D32" s="7" t="s">
        <v>132</v>
      </c>
      <c r="E32" s="7" t="s">
        <v>27</v>
      </c>
      <c r="F32" s="7" t="s">
        <v>133</v>
      </c>
      <c r="G32" s="7" t="s">
        <v>134</v>
      </c>
      <c r="H32" s="11">
        <v>45780</v>
      </c>
      <c r="I32" s="11">
        <v>45959</v>
      </c>
      <c r="J32" s="8" t="str">
        <f t="shared" si="0"/>
        <v>ชร.1/63/2568 ลว. 2 พ.ค. 2568 งานจ้างก่อสร้างผลผลิตการพัฒนาทางหลวง เพื่อสนับสนุนระบบคมนาคมและโลจัสติกส์ กิจกรรมพัฒนาสะพานและระบบระบายน้ำ ทางหลวงหมายเลข 1 ตอน แยกแม่กรณ์ - ห้วยพลู ระหว่าง กม.934+670 - กม.936+615 โดยมี บริษัท ธนะวงศ์กรุ๊ป จำกัด เป็นผู้รับจ้าง</v>
      </c>
      <c r="K32" s="9" t="str">
        <f t="shared" si="1"/>
        <v>เรียน วว.ทล.2 ครับ ผอ.ขท.เชียงรายที่ 1 เป็นประธานตรวจรับงาน ชร.1/63/2568 ลว. 2 พ.ค. 2568 งานจ้างก่อสร้างผลผลิตการพัฒนาทางหลวง เพื่อสนับสนุนระบบคมนาคมและโลจัสติกส์ กิจกรรมพัฒนาสะพานและระบบระบายน้ำ ทางหลวงหมายเลข 1 ตอน แยกแม่กรณ์ - ห้วยพลู ระหว่าง กม.934+670 - กม.936+615 โดยมี บริษัท ธนะวงศ์กรุ๊ป จำกัด เป็นผู้รับจ้าง ผลการตรวจรับไม่มีปัญหาครับ</v>
      </c>
      <c r="M32" s="12"/>
    </row>
    <row r="33" spans="1:13" x14ac:dyDescent="0.25">
      <c r="A33" s="6">
        <v>32</v>
      </c>
      <c r="B33" s="7" t="s">
        <v>135</v>
      </c>
      <c r="C33" s="10" t="s">
        <v>12</v>
      </c>
      <c r="D33" s="7" t="s">
        <v>136</v>
      </c>
      <c r="E33" s="7" t="s">
        <v>137</v>
      </c>
      <c r="F33" s="7" t="s">
        <v>138</v>
      </c>
      <c r="G33" s="7" t="s">
        <v>139</v>
      </c>
      <c r="H33" s="11">
        <v>45791</v>
      </c>
      <c r="I33" s="11">
        <v>45880</v>
      </c>
      <c r="J33" s="8" t="str">
        <f t="shared" si="0"/>
        <v>ชร.1/64/2568 ลว. 13 พ.ค. 2568 งานจ้างเหมาโครงการบูรณาการ การท่องเที่ยวของกลุ่มจังหวัด กิจกรรมหลัก เพิ่มประสิทธิภาพทางหลวงเพื่อรองรับเส้นทางเศรษฐกิจรถไฟเด่นชัย เชียงราย เชียงของ และเชื่อมโยงการท่องเที่ยวภายในกลุ่มจังหวัดภาคเหนือ ตอนบน 2 งานปรับปรุงผิวจราจร ระหว่าง  กม.27+000 - กม.30+360  ปริมาณงาน   1 แห่ง   (19,950 ตร.ม.) โดยมี ห้างหุ้นส่วนจำกัด ธนะชัยแอทโซซิเอท เป็นผู้รับจ้าง</v>
      </c>
      <c r="K33" s="9" t="str">
        <f t="shared" si="1"/>
        <v>เรียน วว.ทล.2 ครับ ผอ.ขท.เชียงรายที่ 1 เป็นประธานตรวจรับงาน ชร.1/64/2568 ลว. 13 พ.ค. 2568 งานจ้างเหมาโครงการบูรณาการ การท่องเที่ยวของกลุ่มจังหวัด กิจกรรมหลัก เพิ่มประสิทธิภาพทางหลวงเพื่อรองรับเส้นทางเศรษฐกิจรถไฟเด่นชัย เชียงราย เชียงของ และเชื่อมโยงการท่องเที่ยวภายในกลุ่มจังหวัดภาคเหนือ ตอนบน 2 งานปรับปรุงผิวจราจร ระหว่าง  กม.27+000 - กม.30+360  ปริมาณงาน   1 แห่ง   (19,950 ตร.ม.) โดยมี ห้างหุ้นส่วนจำกัด ธนะชัยแอทโซซิเอท เป็นผู้รับจ้าง ผลการตรวจรับไม่มีปัญหาครับ</v>
      </c>
      <c r="M33" s="12"/>
    </row>
    <row r="34" spans="1:13" x14ac:dyDescent="0.25">
      <c r="A34" s="6">
        <v>33</v>
      </c>
      <c r="B34" s="7" t="s">
        <v>140</v>
      </c>
      <c r="C34" s="10" t="s">
        <v>12</v>
      </c>
      <c r="D34" s="7" t="s">
        <v>141</v>
      </c>
      <c r="E34" s="7" t="s">
        <v>85</v>
      </c>
      <c r="F34" s="7" t="s">
        <v>142</v>
      </c>
      <c r="G34" s="7" t="s">
        <v>143</v>
      </c>
      <c r="H34" s="11">
        <v>45833</v>
      </c>
      <c r="I34" s="11">
        <v>45952</v>
      </c>
      <c r="J34" s="8" t="str">
        <f t="shared" si="0"/>
        <v>ชร.1/70/2568 ลว. 24 มิ.ย. 2568 โครงการส่งเสริมและพัฒนาระบบ Logistic เพื่อเชื่อมโยงการค้าการลงทุน กิจกรรมหลัก การพัฒนาเส้นทางระบบ Logistics กิจกรรมย่อยที่ 1 งานปรับปรุงผิวจราจร ทางหลวงหมายเลข 1016 ตอนควบคุม 0100 ตอน แม่จัน - กิ่วพร้าว ระหว่าง กม.6+350 - กม.10+000 โดยมี ห้างหุ้นส่วนจำกัด เชียงรายทรายเพชร เป็นผู้รับจ้าง</v>
      </c>
      <c r="K34" s="9" t="str">
        <f t="shared" si="1"/>
        <v>เรียน วว.ทล.2 ครับ ผอ.ขท.เชียงรายที่ 1 เป็นประธานตรวจรับงาน ชร.1/70/2568 ลว. 24 มิ.ย. 2568 โครงการส่งเสริมและพัฒนาระบบ Logistic เพื่อเชื่อมโยงการค้าการลงทุน กิจกรรมหลัก การพัฒนาเส้นทางระบบ Logistics กิจกรรมย่อยที่ 1 งานปรับปรุงผิวจราจร ทางหลวงหมายเลข 1016 ตอนควบคุม 0100 ตอน แม่จัน - กิ่วพร้าว ระหว่าง กม.6+350 - กม.10+000 โดยมี ห้างหุ้นส่วนจำกัด เชียงรายทรายเพชร เป็นผู้รับจ้าง ผลการตรวจรับไม่มีปัญหาครับ</v>
      </c>
      <c r="M34" s="12"/>
    </row>
    <row r="35" spans="1:13" x14ac:dyDescent="0.25">
      <c r="A35" s="6">
        <v>34</v>
      </c>
      <c r="B35" s="7" t="s">
        <v>144</v>
      </c>
      <c r="C35" s="10" t="s">
        <v>12</v>
      </c>
      <c r="D35" s="7" t="s">
        <v>145</v>
      </c>
      <c r="E35" s="7" t="s">
        <v>146</v>
      </c>
      <c r="F35" s="7" t="s">
        <v>147</v>
      </c>
      <c r="G35" s="7" t="s">
        <v>148</v>
      </c>
      <c r="H35" s="11">
        <v>45836</v>
      </c>
      <c r="I35" s="11">
        <v>45955</v>
      </c>
      <c r="J35" s="8" t="str">
        <f t="shared" si="0"/>
        <v>ชร.1/71/2568 ลว. 27 มิ.ย. 2568 โครงการปรับปรุงและพัฒนาแหล่งท่องเที่ยว และทรัพกรสนับสนุนการท่องเที่ยวให้มีคุณภาพ เพื่อรองรับการท่องเที่ยวกิจกรรมหลัก การพัฒนาแหล่งท่องเที่ยวเชิงศิลปวัฒนธรรมร่วมสมัยส่งเสริมอัตลักษณ์พื้นถิ่นเชียงราย กิจกรรมย่อยงานติดตั้งป้ายแจ้งเตือนความเร็วและเครื่องหมายบนผิวทาง ถนน เชียงราย - เชียงใหม่ ทางหลวงหมายเลข 118 ตอนควบคุม 0201 ตอน ดอยนางแก้ว - แม่สรวยระหว่าง กม.52+750 - กม.62+000 โดยมี บริษัท เซฟโรด กรุ๊ป จำกัด เป็นผู้รับจ้าง</v>
      </c>
      <c r="K35" s="9" t="str">
        <f t="shared" si="1"/>
        <v>เรียน วว.ทล.2 ครับ ผอ.ขท.เชียงรายที่ 1 เป็นประธานตรวจรับงาน ชร.1/71/2568 ลว. 27 มิ.ย. 2568 โครงการปรับปรุงและพัฒนาแหล่งท่องเที่ยว และทรัพกรสนับสนุนการท่องเที่ยวให้มีคุณภาพ เพื่อรองรับการท่องเที่ยวกิจกรรมหลัก การพัฒนาแหล่งท่องเที่ยวเชิงศิลปวัฒนธรรมร่วมสมัยส่งเสริมอัตลักษณ์พื้นถิ่นเชียงราย กิจกรรมย่อยงานติดตั้งป้ายแจ้งเตือนความเร็วและเครื่องหมายบนผิวทาง ถนน เชียงราย - เชียงใหม่ ทางหลวงหมายเลข 118 ตอนควบคุม 0201 ตอน ดอยนางแก้ว - แม่สรวยระหว่าง กม.52+750 - กม.62+000 โดยมี บริษัท เซฟโรด กรุ๊ป จำกัด เป็นผู้รับจ้าง ผลการตรวจรับไม่มีปัญหาครับ</v>
      </c>
      <c r="M35" s="12"/>
    </row>
    <row r="36" spans="1:13" x14ac:dyDescent="0.25">
      <c r="A36" s="6">
        <v>35</v>
      </c>
      <c r="B36" s="7" t="s">
        <v>149</v>
      </c>
      <c r="C36" s="10" t="s">
        <v>12</v>
      </c>
      <c r="D36" s="7" t="s">
        <v>150</v>
      </c>
      <c r="E36" s="7" t="s">
        <v>40</v>
      </c>
      <c r="F36" s="7" t="s">
        <v>151</v>
      </c>
      <c r="G36" s="7" t="s">
        <v>152</v>
      </c>
      <c r="H36" s="11">
        <v>45884</v>
      </c>
      <c r="I36" s="11">
        <v>46123</v>
      </c>
      <c r="J36" s="8" t="str">
        <f t="shared" si="0"/>
        <v>ชร.1/72/2568 ลว. 14 ส.ค.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 ขาแหย่ง - ป่าเมี่ยง ตอน 2 ระหว่าง กม.13+600 - กม.13+900 โดยมี ห้างหุ้นส่วนจำกัด พัฒนานุภาพก่อสร้าง เป็นผู้รับจ้าง</v>
      </c>
      <c r="K36" s="9" t="str">
        <f t="shared" si="1"/>
        <v>เรียน วว.ทล.2 ครับ ผอ.ขท.เชียงรายที่ 1 เป็นประธานตรวจรับงาน ชร.1/72/2568 ลว. 14 ส.ค.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 ขาแหย่ง - ป่าเมี่ยง ตอน 2 ระหว่าง กม.13+600 - กม.13+900 โดยมี ห้างหุ้นส่วนจำกัด พัฒนานุภาพก่อสร้าง เป็นผู้รับจ้าง ผลการตรวจรับไม่มีปัญหาครับ</v>
      </c>
      <c r="M36" s="12"/>
    </row>
    <row r="37" spans="1:13" x14ac:dyDescent="0.25">
      <c r="A37" s="6">
        <v>36</v>
      </c>
      <c r="B37" s="7" t="s">
        <v>153</v>
      </c>
      <c r="C37" s="10" t="s">
        <v>12</v>
      </c>
      <c r="D37" s="7" t="s">
        <v>154</v>
      </c>
      <c r="E37" s="7" t="s">
        <v>85</v>
      </c>
      <c r="F37" s="7" t="s">
        <v>155</v>
      </c>
      <c r="G37" s="7" t="s">
        <v>156</v>
      </c>
      <c r="H37" s="11">
        <v>45885</v>
      </c>
      <c r="I37" s="11">
        <v>46124</v>
      </c>
      <c r="J37" s="8" t="str">
        <f t="shared" si="0"/>
        <v>ชร.1/73/2568 ลว. 15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1390 ตอน ทางเข้าพระธาติดอยตุง ตอน 4 ระหว่าง กม.0+450 - กม.0+650 โดยมี ห้างหุ้นส่วนจำกัด เชียงรายทรายเพชร เป็นผู้รับจ้าง</v>
      </c>
      <c r="K37" s="9" t="str">
        <f t="shared" si="1"/>
        <v>เรียน วว.ทล.2 ครับ ผอ.ขท.เชียงรายที่ 1 เป็นประธานตรวจรับงาน ชร.1/73/2568 ลว. 15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1390 ตอน ทางเข้าพระธาติดอยตุง ตอน 4 ระหว่าง กม.0+450 - กม.0+650 โดยมี ห้างหุ้นส่วนจำกัด เชียงรายทรายเพชร เป็นผู้รับจ้าง ผลการตรวจรับไม่มีปัญหาครับ</v>
      </c>
      <c r="M37" s="12"/>
    </row>
    <row r="38" spans="1:13" x14ac:dyDescent="0.25">
      <c r="A38" s="6">
        <v>37</v>
      </c>
      <c r="B38" s="7" t="s">
        <v>157</v>
      </c>
      <c r="C38" s="10" t="s">
        <v>12</v>
      </c>
      <c r="D38" s="7" t="s">
        <v>158</v>
      </c>
      <c r="E38" s="7" t="s">
        <v>105</v>
      </c>
      <c r="F38" s="7" t="s">
        <v>159</v>
      </c>
      <c r="G38" s="7" t="s">
        <v>160</v>
      </c>
      <c r="H38" s="11">
        <v>45896</v>
      </c>
      <c r="I38" s="11">
        <v>46135</v>
      </c>
      <c r="J38" s="8" t="str">
        <f t="shared" si="0"/>
        <v>ชร.1/74/2568 ลว. 26 ส.ค. 2568 งานจ้างก่อสร้างงบกลางรายการเงินสำรองจ่ายเพื่อกรณีฉุกเฉินหรือจำเป็น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4 ระหว่าง กม.3+125 - กม.3+275 โดยมี บริษัท ภาคเหนือวัสดุ จำกัด เป็นผู้รับจ้าง</v>
      </c>
      <c r="K38" s="9" t="str">
        <f t="shared" si="1"/>
        <v>เรียน วว.ทล.2 ครับ ผอ.ขท.เชียงรายที่ 1 เป็นประธานตรวจรับงาน ชร.1/74/2568 ลว. 26 ส.ค. 2568 งานจ้างก่อสร้างงบกลางรายการเงินสำรองจ่ายเพื่อกรณีฉุกเฉินหรือจำเป็น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4 ระหว่าง กม.3+125 - กม.3+275 โดยมี บริษัท ภาคเหนือวัสดุ จำกัด เป็นผู้รับจ้าง ผลการตรวจรับไม่มีปัญหาครับ</v>
      </c>
      <c r="M38" s="12"/>
    </row>
    <row r="39" spans="1:13" x14ac:dyDescent="0.25">
      <c r="A39" s="6">
        <v>38</v>
      </c>
      <c r="B39" s="7" t="s">
        <v>161</v>
      </c>
      <c r="C39" s="10" t="s">
        <v>12</v>
      </c>
      <c r="D39" s="7" t="s">
        <v>162</v>
      </c>
      <c r="E39" s="7" t="s">
        <v>14</v>
      </c>
      <c r="F39" s="7" t="s">
        <v>163</v>
      </c>
      <c r="G39" s="7" t="s">
        <v>164</v>
      </c>
      <c r="H39" s="11">
        <v>45897</v>
      </c>
      <c r="I39" s="11">
        <v>46289</v>
      </c>
      <c r="J39" s="8" t="str">
        <f t="shared" si="0"/>
        <v>ชร.1/75/2568 ลว. 27 ส.ค.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131 ตอน ทางเลี่ยงเมืองเชียงราย ตอน 4 ระหว่าง กม.8+885 - กม.9+575 โดยมี ห้างหุ้นส่วนจำกัด เชียงรายสามชัย เป็นผู้รับจ้าง</v>
      </c>
      <c r="K39" s="9" t="str">
        <f t="shared" si="1"/>
        <v>เรียน วว.ทล.2 ครับ ผอ.ขท.เชียงรายที่ 1 เป็นประธานตรวจรับงาน ชร.1/75/2568 ลว. 27 ส.ค.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131 ตอน ทางเลี่ยงเมืองเชียงราย ตอน 4 ระหว่าง กม.8+885 - กม.9+575 โดยมี ห้างหุ้นส่วนจำกัด เชียงรายสามชัย เป็นผู้รับจ้าง ผลการตรวจรับไม่มีปัญหาครับ</v>
      </c>
      <c r="M39" s="12"/>
    </row>
    <row r="40" spans="1:13" x14ac:dyDescent="0.25">
      <c r="A40" s="6">
        <v>39</v>
      </c>
      <c r="B40" s="7" t="s">
        <v>165</v>
      </c>
      <c r="C40" s="10" t="s">
        <v>12</v>
      </c>
      <c r="D40" s="7" t="s">
        <v>162</v>
      </c>
      <c r="E40" s="7" t="s">
        <v>105</v>
      </c>
      <c r="F40" s="7" t="s">
        <v>166</v>
      </c>
      <c r="G40" s="7" t="s">
        <v>167</v>
      </c>
      <c r="H40" s="11">
        <v>45896</v>
      </c>
      <c r="I40" s="11">
        <v>46136</v>
      </c>
      <c r="J40" s="8" t="str">
        <f t="shared" si="0"/>
        <v>ชร.1/76/2568 ลว. 27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9 ระหว่าง กม.5+825 - กม.5+975 โดยมี บริษัท ภาคเหนือวัสดุ จำกัด เป็นผู้รับจ้าง</v>
      </c>
      <c r="K40" s="9" t="str">
        <f t="shared" si="1"/>
        <v>เรียน วว.ทล.2 ครับ ผอ.ขท.เชียงรายที่ 1 เป็นประธานตรวจรับงาน ชร.1/76/2568 ลว. 27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1334 ตอน ผาบือ - ดอยช้างมูบ ตอน 9 ระหว่าง กม.5+825 - กม.5+975 โดยมี บริษัท ภาคเหนือวัสดุ จำกัด เป็นผู้รับจ้าง ผลการตรวจรับไม่มีปัญหาครับ</v>
      </c>
      <c r="M40" s="12"/>
    </row>
    <row r="41" spans="1:13" x14ac:dyDescent="0.25">
      <c r="A41" s="6">
        <v>40</v>
      </c>
      <c r="B41" s="7" t="s">
        <v>168</v>
      </c>
      <c r="C41" s="10" t="s">
        <v>12</v>
      </c>
      <c r="D41" s="7" t="s">
        <v>169</v>
      </c>
      <c r="E41" s="7" t="s">
        <v>40</v>
      </c>
      <c r="F41" s="7" t="s">
        <v>170</v>
      </c>
      <c r="G41" s="7" t="s">
        <v>171</v>
      </c>
      <c r="H41" s="11">
        <v>45898</v>
      </c>
      <c r="I41" s="11">
        <v>45987</v>
      </c>
      <c r="J41" s="8" t="str">
        <f t="shared" si="0"/>
        <v>ชร.1/77/2568 ลว. 28 ส.ค.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1149 ตอน ห้วยไคร้ - ห้วยน้ำริน ระหว่าง กม.5+787 - กม.9+000 โดยมี ห้างหุ้นส่วนจำกัด พัฒนานุภาพก่อสร้าง เป็นผู้รับจ้าง</v>
      </c>
      <c r="K41" s="9" t="str">
        <f t="shared" si="1"/>
        <v>เรียน วว.ทล.2 ครับ ผอ.ขท.เชียงรายที่ 1 เป็นประธานตรวจรับงาน ชร.1/77/2568 ลว. 28 ส.ค.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1149 ตอน ห้วยไคร้ - ห้วยน้ำริน ระหว่าง กม.5+787 - กม.9+000 โดยมี ห้างหุ้นส่วนจำกัด พัฒนานุภาพก่อสร้าง เป็นผู้รับจ้าง ผลการตรวจรับไม่มีปัญหาครับ</v>
      </c>
      <c r="M41" s="12"/>
    </row>
    <row r="42" spans="1:13" x14ac:dyDescent="0.25">
      <c r="A42" s="6">
        <v>41</v>
      </c>
      <c r="B42" s="7" t="s">
        <v>172</v>
      </c>
      <c r="C42" s="10" t="s">
        <v>12</v>
      </c>
      <c r="D42" s="7" t="s">
        <v>169</v>
      </c>
      <c r="E42" s="7" t="s">
        <v>40</v>
      </c>
      <c r="F42" s="7" t="s">
        <v>173</v>
      </c>
      <c r="G42" s="7" t="s">
        <v>174</v>
      </c>
      <c r="H42" s="11">
        <v>45898</v>
      </c>
      <c r="I42" s="11">
        <v>46137</v>
      </c>
      <c r="J42" s="8" t="str">
        <f t="shared" si="0"/>
        <v>ชร.1/78/2568 ลว. 28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ตอนควบคุม 0100 ตอน ขาแหย่ง - ป่าเมี่ยง ตอน 1 ระหว่าง กม.9+600 - กม.9+750 โดยมี ห้างหุ้นส่วนจำกัด พัฒนานุภาพก่อสร้าง เป็นผู้รับจ้าง</v>
      </c>
      <c r="K42" s="9" t="str">
        <f t="shared" si="1"/>
        <v>เรียน วว.ทล.2 ครับ ผอ.ขท.เชียงรายที่ 1 เป็นประธานตรวจรับงาน ชร.1/78/2568 ลว. 28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1338 ตอนควบคุม 0100 ตอน ขาแหย่ง - ป่าเมี่ยง ตอน 1 ระหว่าง กม.9+600 - กม.9+750 โดยมี ห้างหุ้นส่วนจำกัด พัฒนานุภาพก่อสร้าง เป็นผู้รับจ้าง ผลการตรวจรับไม่มีปัญหาครับ</v>
      </c>
      <c r="M42" s="12"/>
    </row>
    <row r="43" spans="1:13" x14ac:dyDescent="0.25">
      <c r="A43" s="6">
        <v>42</v>
      </c>
      <c r="B43" s="7" t="s">
        <v>175</v>
      </c>
      <c r="C43" s="10" t="s">
        <v>12</v>
      </c>
      <c r="D43" s="7" t="s">
        <v>176</v>
      </c>
      <c r="E43" s="7" t="s">
        <v>85</v>
      </c>
      <c r="F43" s="7" t="s">
        <v>177</v>
      </c>
      <c r="G43" s="7" t="s">
        <v>178</v>
      </c>
      <c r="H43" s="11">
        <v>45899</v>
      </c>
      <c r="I43" s="11">
        <v>45988</v>
      </c>
      <c r="J43" s="8" t="str">
        <f t="shared" si="0"/>
        <v>ชร.1/79/2568 ลว. 29 ส.ค.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1190 ตอน จำบอน - เหมืองง่า ตอน 2 ระหว่าง กม.22+390 - กม.23+174 โดยมี ห้างหุ้นส่วนจำกัด เชียงรายทรายเพชร เป็นผู้รับจ้าง</v>
      </c>
      <c r="K43" s="9" t="str">
        <f t="shared" si="1"/>
        <v>เรียน วว.ทล.2 ครับ ผอ.ขท.เชียงรายที่ 1 เป็นประธานตรวจรับงาน ชร.1/79/2568 ลว. 29 ส.ค.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1190 ตอน จำบอน - เหมืองง่า ตอน 2 ระหว่าง กม.22+390 - กม.23+174 โดยมี ห้างหุ้นส่วนจำกัด เชียงรายทรายเพชร เป็นผู้รับจ้าง ผลการตรวจรับไม่มีปัญหาครับ</v>
      </c>
      <c r="M43" s="12"/>
    </row>
    <row r="44" spans="1:13" x14ac:dyDescent="0.25">
      <c r="A44" s="6">
        <v>43</v>
      </c>
      <c r="B44" s="7" t="s">
        <v>179</v>
      </c>
      <c r="C44" s="10" t="s">
        <v>12</v>
      </c>
      <c r="D44" s="7" t="s">
        <v>176</v>
      </c>
      <c r="E44" s="7" t="s">
        <v>18</v>
      </c>
      <c r="F44" s="7" t="s">
        <v>180</v>
      </c>
      <c r="G44" s="7" t="s">
        <v>181</v>
      </c>
      <c r="H44" s="11">
        <v>45899</v>
      </c>
      <c r="I44" s="11">
        <v>46138</v>
      </c>
      <c r="J44" s="8" t="str">
        <f t="shared" si="0"/>
        <v>ชร.1/80/2568 ลว. 29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1130 ตอน ป่าซาง - กิ่วสะไต ตอน 3 ระหว่าง กม.45+050 - กม.45+300 โดยมี ห้างหุ้นส่วนจำกัด แม่สายศิลา เป็นผู้รับจ้าง</v>
      </c>
      <c r="K44" s="9" t="str">
        <f t="shared" si="1"/>
        <v>เรียน วว.ทล.2 ครับ ผอ.ขท.เชียงรายที่ 1 เป็นประธานตรวจรับงาน ชร.1/80/2568 ลว. 29 ส.ค.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1130 ตอน ป่าซาง - กิ่วสะไต ตอน 3 ระหว่าง กม.45+050 - กม.45+300 โดยมี ห้างหุ้นส่วนจำกัด แม่สายศิลา เป็นผู้รับจ้าง ผลการตรวจรับไม่มีปัญหาครับ</v>
      </c>
      <c r="M44" s="12"/>
    </row>
    <row r="45" spans="1:13" x14ac:dyDescent="0.25">
      <c r="A45" s="6">
        <v>44</v>
      </c>
      <c r="B45" s="7" t="s">
        <v>182</v>
      </c>
      <c r="C45" s="10" t="s">
        <v>12</v>
      </c>
      <c r="D45" s="7" t="s">
        <v>176</v>
      </c>
      <c r="E45" s="7" t="s">
        <v>69</v>
      </c>
      <c r="F45" s="7" t="s">
        <v>183</v>
      </c>
      <c r="G45" s="7" t="s">
        <v>184</v>
      </c>
      <c r="H45" s="11">
        <v>45899</v>
      </c>
      <c r="I45" s="11">
        <v>46018</v>
      </c>
      <c r="J45" s="8" t="str">
        <f t="shared" si="0"/>
        <v>ชร.1/81/2568 ลว. 29 ส.ค. 2568 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ตอน 3 ระหว่าง กม.61+170 - กม.62+650 โดยมี ห้างหุ้นส่วนจำกัด ธนะชัยแอสโซซิเอท เป็นผู้รับจ้าง</v>
      </c>
      <c r="K45" s="9" t="str">
        <f t="shared" si="1"/>
        <v>เรียน วว.ทล.2 ครับ ผอ.ขท.เชียงรายที่ 1 เป็นประธานตรวจรับงาน ชร.1/81/2568 ลว. 29 ส.ค. 2568 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ตอน 3 ระหว่าง กม.61+170 - กม.62+650 โดยมี ห้างหุ้นส่วนจำกัด ธนะชัยแอสโซซิเอท เป็นผู้รับจ้าง ผลการตรวจรับไม่มีปัญหาครับ</v>
      </c>
      <c r="L45" s="4" t="s">
        <v>185</v>
      </c>
      <c r="M45" s="12"/>
    </row>
    <row r="46" spans="1:13" x14ac:dyDescent="0.25">
      <c r="A46" s="6">
        <v>45</v>
      </c>
      <c r="B46" s="7" t="s">
        <v>186</v>
      </c>
      <c r="C46" s="10" t="s">
        <v>12</v>
      </c>
      <c r="D46" s="7" t="s">
        <v>187</v>
      </c>
      <c r="E46" s="7" t="s">
        <v>36</v>
      </c>
      <c r="F46" s="7" t="s">
        <v>188</v>
      </c>
      <c r="G46" s="7" t="s">
        <v>189</v>
      </c>
      <c r="H46" s="11">
        <v>45902</v>
      </c>
      <c r="I46" s="11">
        <v>45776</v>
      </c>
      <c r="J46" s="8" t="str">
        <f t="shared" si="0"/>
        <v>ชร.1/82/2568 ลว.1 ก.ย. 2568 งานจ้างก่อสร้างงบกลาง รายการเงินสำรองจ่ายเพื่อกรณ์ฉุกเฉินหรือจำเป็น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10 ระหว่าง กม.62+975 - กม.63+125 โดยมี ห้างหุ้นส่วนจำกัด ดวงดีคอนกรีต เป็นผู้รับจ้าง</v>
      </c>
      <c r="K46" s="9" t="str">
        <f t="shared" si="1"/>
        <v>เรียน วว.ทล.2 ครับ ผอ.ขท.เชียงรายที่ 1 เป็นประธานตรวจรับงาน ชร.1/82/2568 ลว.1 ก.ย. 2568 งานจ้างก่อสร้างงบกลาง รายการเงินสำรองจ่ายเพื่อกรณ์ฉุกเฉินหรือจำเป็น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10 ระหว่าง กม.62+975 - กม.63+125 โดยมี ห้างหุ้นส่วนจำกัด ดวงดีคอนกรีต เป็นผู้รับจ้าง ผลการตรวจรับไม่มีปัญหาครับ</v>
      </c>
    </row>
    <row r="47" spans="1:13" x14ac:dyDescent="0.25">
      <c r="A47" s="6">
        <v>46</v>
      </c>
      <c r="B47" s="7" t="s">
        <v>190</v>
      </c>
      <c r="C47" s="10" t="s">
        <v>12</v>
      </c>
      <c r="D47" s="7" t="s">
        <v>187</v>
      </c>
      <c r="E47" s="7" t="s">
        <v>85</v>
      </c>
      <c r="F47" s="7" t="s">
        <v>191</v>
      </c>
      <c r="G47" s="7" t="s">
        <v>192</v>
      </c>
      <c r="H47" s="11">
        <v>45902</v>
      </c>
      <c r="I47" s="11">
        <v>45991</v>
      </c>
      <c r="J47" s="8" t="str">
        <f t="shared" si="0"/>
        <v>ชร.1/83/2568 ลว.1 ก.ย. 2568 งานจ้างก่อสร้างงบกลาง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1190 ตอน จำบอน - เหมืองง่า ระหว่าง กม.3+525 - กม.6+650 โดยมี ห้างหุ้นส่วนจำกัด เชียงรายทรายเพชร เป็นผู้รับจ้าง</v>
      </c>
      <c r="K47" s="9" t="str">
        <f t="shared" si="1"/>
        <v>เรียน วว.ทล.2 ครับ ผอ.ขท.เชียงรายที่ 1 เป็นประธานตรวจรับงาน ชร.1/83/2568 ลว.1 ก.ย. 2568 งานจ้างก่อสร้างงบกลาง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1190 ตอน จำบอน - เหมืองง่า ระหว่าง กม.3+525 - กม.6+650 โดยมี ห้างหุ้นส่วนจำกัด เชียงรายทรายเพชร เป็นผู้รับจ้าง ผลการตรวจรับไม่มีปัญหาครับ</v>
      </c>
    </row>
    <row r="48" spans="1:13" x14ac:dyDescent="0.25">
      <c r="A48" s="6">
        <v>47</v>
      </c>
      <c r="B48" s="7" t="s">
        <v>193</v>
      </c>
      <c r="C48" s="10" t="s">
        <v>12</v>
      </c>
      <c r="D48" s="7" t="s">
        <v>194</v>
      </c>
      <c r="E48" s="7" t="s">
        <v>18</v>
      </c>
      <c r="F48" s="7" t="s">
        <v>195</v>
      </c>
      <c r="G48" s="7" t="s">
        <v>196</v>
      </c>
      <c r="H48" s="11">
        <v>45903</v>
      </c>
      <c r="I48" s="11">
        <f>+H48+240</f>
        <v>46143</v>
      </c>
      <c r="J48" s="8" t="str">
        <f t="shared" si="0"/>
        <v>ชร.1/84/2568 ลว. 3 ก.ย. 2568 งานจ้างก่อสร้างงบกลาง รายการเงนิสำรองจ่ายเพื่อกรณีฉุกเฉินหรือจำเป็น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8 ระหว่าง กม.213+525 - กม 213+725 โดยมี ห้างหุ้นส่วนจำกัด แม่สายศิลา เป็นผู้รับจ้าง</v>
      </c>
      <c r="K48" s="9" t="str">
        <f t="shared" si="1"/>
        <v>เรียน วว.ทล.2 ครับ ผอ.ขท.เชียงรายที่ 1 เป็นประธานตรวจรับงาน ชร.1/84/2568 ลว. 3 ก.ย. 2568 งานจ้างก่อสร้างงบกลาง รายการเงนิสำรองจ่ายเพื่อกรณีฉุกเฉินหรือจำเป็น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8 ระหว่าง กม.213+525 - กม 213+725 โดยมี ห้างหุ้นส่วนจำกัด แม่สายศิลา เป็นผู้รับจ้าง ผลการตรวจรับไม่มีปัญหาครับ</v>
      </c>
    </row>
    <row r="49" spans="1:11" x14ac:dyDescent="0.25">
      <c r="A49" s="6">
        <v>48</v>
      </c>
      <c r="B49" s="7" t="s">
        <v>197</v>
      </c>
      <c r="C49" s="10" t="s">
        <v>12</v>
      </c>
      <c r="D49" s="7" t="s">
        <v>198</v>
      </c>
      <c r="E49" s="7" t="s">
        <v>40</v>
      </c>
      <c r="F49" s="7" t="s">
        <v>199</v>
      </c>
      <c r="G49" s="7" t="s">
        <v>200</v>
      </c>
      <c r="H49" s="11">
        <v>45906</v>
      </c>
      <c r="I49" s="11">
        <v>45995</v>
      </c>
      <c r="J49" s="8" t="str">
        <f t="shared" si="0"/>
        <v>ชร.1/86/2568 ลว. 5 ก.ย. 2568 งานจ้างก่อสร้างงบกลาง รายการค่าใช้จ่ายเพื่อการกระตุ้นเศรษฐกิจและสร้างความเข้มแข็ง ของระบบเศรษฐกิจ โครงการบำรุงรักษาทางหลวง เพื่อสนับสนุนโครงข่ายโลจิสติกส์และการขนส่ง งานบูรณะทางผิวแอสฟัลต์ งานบำรุงพิเศษและบูรณะ ทางหลวงหมายเลข 1130 ตอน ป่าซาง - กิ่วสะไต ตอน 3 ระหว่าง กม.0+060 - กม.2+560 โดยมี ห้างหุ้นส่วนจำกัด พัฒนานุภาพก่อสร้าง เป็นผู้รับจ้าง</v>
      </c>
      <c r="K49" s="9" t="str">
        <f t="shared" si="1"/>
        <v>เรียน วว.ทล.2 ครับ ผอ.ขท.เชียงรายที่ 1 เป็นประธานตรวจรับงาน ชร.1/86/2568 ลว. 5 ก.ย. 2568 งานจ้างก่อสร้างงบกลาง รายการค่าใช้จ่ายเพื่อการกระตุ้นเศรษฐกิจและสร้างความเข้มแข็ง ของระบบเศรษฐกิจ โครงการบำรุงรักษาทางหลวง เพื่อสนับสนุนโครงข่ายโลจิสติกส์และการขนส่ง งานบูรณะทางผิวแอสฟัลต์ งานบำรุงพิเศษและบูรณะ ทางหลวงหมายเลข 1130 ตอน ป่าซาง - กิ่วสะไต ตอน 3 ระหว่าง กม.0+060 - กม.2+560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50" spans="1:11" x14ac:dyDescent="0.25">
      <c r="A50" s="6">
        <v>49</v>
      </c>
      <c r="B50" s="7" t="s">
        <v>201</v>
      </c>
      <c r="C50" s="10" t="s">
        <v>12</v>
      </c>
      <c r="D50" s="7" t="s">
        <v>198</v>
      </c>
      <c r="E50" s="7" t="s">
        <v>18</v>
      </c>
      <c r="F50" s="7" t="s">
        <v>202</v>
      </c>
      <c r="G50" s="7" t="s">
        <v>203</v>
      </c>
      <c r="H50" s="11">
        <v>45906</v>
      </c>
      <c r="I50" s="11">
        <v>46145</v>
      </c>
      <c r="J50" s="8" t="str">
        <f t="shared" si="0"/>
        <v>ชร.1/87/2568 ลว. 5 ก.ย.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4 ระหว่าง กม.211+550 - กม.211+730 โดยมี ห้างหุ้นส่วนจำกัด แม่สายศิลา เป็นผู้รับจ้าง</v>
      </c>
      <c r="K50" s="9" t="str">
        <f t="shared" si="1"/>
        <v>เรียน วว.ทล.2 ครับ ผอ.ขท.เชียงรายที่ 1 เป็นประธานตรวจรับงาน ชร.1/87/2568 ลว. 5 ก.ย. 2568 งานจ้างก่อสร้างงบกลาง รายการเงินสำรองจ่ายฉุกเฉินหรือจำเป็น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4 ระหว่าง กม.211+550 - กม.211+730 โดยมี ห้างหุ้นส่วนจำกัด แม่สายศิลา เป็นผู้รับจ้าง ผลการตรวจรับไม่มีปัญหาครับ</v>
      </c>
    </row>
    <row r="51" spans="1:11" x14ac:dyDescent="0.25">
      <c r="A51" s="6">
        <v>50</v>
      </c>
      <c r="B51" s="7" t="s">
        <v>204</v>
      </c>
      <c r="C51" s="10" t="s">
        <v>12</v>
      </c>
      <c r="D51" s="7" t="s">
        <v>198</v>
      </c>
      <c r="E51" s="7" t="s">
        <v>100</v>
      </c>
      <c r="F51" s="7" t="s">
        <v>205</v>
      </c>
      <c r="G51" s="7" t="s">
        <v>206</v>
      </c>
      <c r="H51" s="11">
        <v>45906</v>
      </c>
      <c r="I51" s="11">
        <v>46145</v>
      </c>
      <c r="J51" s="8" t="str">
        <f t="shared" si="0"/>
        <v>ชร.1/88/2568 ลว. 5 ก.ย. 2568 งานจ้างก่อสร้างงบกลาง รายการเงินสำรองจ่ายเพื่อกรณี 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7 ระหว่าง กม.59+600 - กม.59+725 โดยมี ห้างหุ้นส่วนจำกัด เรืองเศรษฐ เป็นผู้รับจ้าง</v>
      </c>
      <c r="K51" s="9" t="str">
        <f t="shared" si="1"/>
        <v>เรียน วว.ทล.2 ครับ ผอ.ขท.เชียงรายที่ 1 เป็นประธานตรวจรับงาน ชร.1/88/2568 ลว. 5 ก.ย. 2568 งานจ้างก่อสร้างงบกลาง รายการเงินสำรองจ่ายเพื่อกรณี 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7 ระหว่าง กม.59+600 - กม.59+725 โดยมี ห้างหุ้นส่วนจำกัด เรืองเศรษฐ เป็นผู้รับจ้าง ผลการตรวจรับไม่มีปัญหาครับ</v>
      </c>
    </row>
    <row r="52" spans="1:11" x14ac:dyDescent="0.25">
      <c r="A52" s="6">
        <v>51</v>
      </c>
      <c r="B52" s="7" t="s">
        <v>207</v>
      </c>
      <c r="C52" s="10" t="s">
        <v>12</v>
      </c>
      <c r="D52" s="7" t="s">
        <v>198</v>
      </c>
      <c r="E52" s="7" t="s">
        <v>40</v>
      </c>
      <c r="F52" s="7" t="s">
        <v>208</v>
      </c>
      <c r="G52" s="7" t="s">
        <v>209</v>
      </c>
      <c r="H52" s="11">
        <v>45906</v>
      </c>
      <c r="I52" s="11">
        <v>46145</v>
      </c>
      <c r="J52" s="8" t="str">
        <f t="shared" si="0"/>
        <v>ชร.1/89/2568 ลว. 5 ก.ย. 2568 งานจ้างก่อสร้างงบกลาง รายการเงินสำรองจ่าย เพื่อกรณ์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1149 ตอน ห้วยไคร้ - ห้วยน้ำริน ตอน 1 ระหว่าง กม.9+350 - กม.9+500 โดยมี ห้างหุ้นส่วนจำกัด พัฒนานุภาพก่อสร้าง เป็นผู้รับจ้าง</v>
      </c>
      <c r="K52" s="9" t="str">
        <f t="shared" si="1"/>
        <v>เรียน วว.ทล.2 ครับ ผอ.ขท.เชียงรายที่ 1 เป็นประธานตรวจรับงาน ชร.1/89/2568 ลว. 5 ก.ย. 2568 งานจ้างก่อสร้างงบกลาง รายการเงินสำรองจ่าย เพื่อกรณ์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1149 ตอน ห้วยไคร้ - ห้วยน้ำริน ตอน 1 ระหว่าง กม.9+350 - กม.9+500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53" spans="1:11" x14ac:dyDescent="0.25">
      <c r="A53" s="6">
        <v>52</v>
      </c>
      <c r="B53" s="7" t="s">
        <v>210</v>
      </c>
      <c r="C53" s="10" t="s">
        <v>12</v>
      </c>
      <c r="D53" s="7" t="s">
        <v>211</v>
      </c>
      <c r="E53" s="7" t="s">
        <v>18</v>
      </c>
      <c r="F53" s="7" t="s">
        <v>212</v>
      </c>
      <c r="G53" s="7" t="s">
        <v>213</v>
      </c>
      <c r="H53" s="11">
        <v>45909</v>
      </c>
      <c r="I53" s="11">
        <v>46148</v>
      </c>
      <c r="J53" s="8" t="str">
        <f t="shared" si="0"/>
        <v>ชร.1/90/2568 ลว. 8 ก.ย. 2568 งานจ้างก่อสร้างงบกลาง รายการเงินสำรองจ่าย 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6 ระหว่าง กม.211+950 - กม.212+200 โดยมี ห้างหุ้นส่วนจำกัด แม่สายศิลา เป็นผู้รับจ้าง</v>
      </c>
      <c r="K53" s="9" t="str">
        <f t="shared" si="1"/>
        <v>เรียน วว.ทล.2 ครับ ผอ.ขท.เชียงรายที่ 1 เป็นประธานตรวจรับงาน ชร.1/90/2568 ลว. 8 ก.ย. 2568 งานจ้างก่อสร้างงบกลาง รายการเงินสำรองจ่าย 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107 ตอนควบคุม 0300 ตอน เมืองงาม - แม่จัน ตอน 6 ระหว่าง กม.211+950 - กม.212+200 โดยมี ห้างหุ้นส่วนจำกัด แม่สายศิลา เป็นผู้รับจ้าง ผลการตรวจรับไม่มีปัญหาครับ</v>
      </c>
    </row>
    <row r="54" spans="1:11" x14ac:dyDescent="0.25">
      <c r="A54" s="6">
        <v>53</v>
      </c>
      <c r="B54" s="7" t="s">
        <v>214</v>
      </c>
      <c r="C54" s="10" t="s">
        <v>12</v>
      </c>
      <c r="D54" s="7" t="s">
        <v>211</v>
      </c>
      <c r="E54" s="7" t="s">
        <v>27</v>
      </c>
      <c r="F54" s="7" t="s">
        <v>215</v>
      </c>
      <c r="G54" s="7" t="s">
        <v>216</v>
      </c>
      <c r="H54" s="11">
        <v>45909</v>
      </c>
      <c r="I54" s="11">
        <v>46148</v>
      </c>
      <c r="J54" s="8" t="str">
        <f t="shared" si="0"/>
        <v>ชร.1/91/2568 ลว. 8 ก.ย. 2568 งานจ้างก่อสร้างงบกลาง รายการเงินสำรองจ่าย เพื่อกรณี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4 ระหว่าง กม.56+575 - กม.56+725 โดยมี บริษัท ธนะวงศ์กรุ๊ป จำกัด เป็นผู้รับจ้าง</v>
      </c>
      <c r="K54" s="9" t="str">
        <f t="shared" si="1"/>
        <v>เรียน วว.ทล.2 ครับ ผอ.ขท.เชียงรายที่ 1 เป็นประธานตรวจรับงาน ชร.1/91/2568 ลว. 8 ก.ย. 2568 งานจ้างก่อสร้างงบกลาง รายการเงินสำรองจ่าย เพื่อกรณีฉุกเฉินหรือจำเป็นเพื่อฟื้นฟูโครงสร้างพื้นฐานที่ได้รับความเสียหายจากอุทกภัยและภัยพิบัติ ทางหลวงหมายเลข 1150 ตอนควบคุม 0200 ตอน ขุนแจ๋ - เวียงป่าเป้า ตอน 4 ระหว่าง กม.56+575 - กม.56+725 โดยมี บริษัท ธนะวงศ์กรุ๊ป จำกัด เป็นผู้รับจ้าง ผลการตรวจรับไม่มีปัญหาครับ</v>
      </c>
    </row>
    <row r="55" spans="1:11" x14ac:dyDescent="0.25">
      <c r="A55" s="6">
        <v>54</v>
      </c>
      <c r="B55" s="7" t="s">
        <v>217</v>
      </c>
      <c r="C55" s="10" t="s">
        <v>12</v>
      </c>
      <c r="D55" s="7" t="s">
        <v>211</v>
      </c>
      <c r="E55" s="7" t="s">
        <v>85</v>
      </c>
      <c r="F55" s="7" t="s">
        <v>218</v>
      </c>
      <c r="G55" s="7" t="s">
        <v>219</v>
      </c>
      <c r="H55" s="11">
        <v>45909</v>
      </c>
      <c r="I55" s="11">
        <v>45998</v>
      </c>
      <c r="J55" s="8" t="str">
        <f t="shared" si="0"/>
        <v>ชร.1/92/2568 ลว. 8 ก.ย. 2568 งานจ้างก่อสร้างงบกลาง รายการเงินสำรองจ่ายเพื่อการกระตุ้นเศรษฐกิจ และสร้างความเข้มแข็งของระบบเศรษฐกิจโครงการบำรุงรักษาทางหลวง เพื่อสนับสนุนโครงข่ายโลจีสติกส์และการขนส่ง งานเสริมผิวแอสฟัลต์ งานบำรุงตามกำหนดเวลา ทางหลวงหมายเลข 1130 ตอน ป่าซาง - กิ่วสะไต ตอน 2 ระหว่าง กม.30+360 - กม.34+360 โดยมี ห้างหุ้นส่วนจำกัด เชียงรายทรายเพชร เป็นผู้รับจ้าง</v>
      </c>
      <c r="K55" s="9" t="str">
        <f t="shared" si="1"/>
        <v>เรียน วว.ทล.2 ครับ ผอ.ขท.เชียงรายที่ 1 เป็นประธานตรวจรับงาน ชร.1/92/2568 ลว. 8 ก.ย. 2568 งานจ้างก่อสร้างงบกลาง รายการเงินสำรองจ่ายเพื่อการกระตุ้นเศรษฐกิจ และสร้างความเข้มแข็งของระบบเศรษฐกิจโครงการบำรุงรักษาทางหลวง เพื่อสนับสนุนโครงข่ายโลจีสติกส์และการขนส่ง งานเสริมผิวแอสฟัลต์ งานบำรุงตามกำหนดเวลา ทางหลวงหมายเลข 1130 ตอน ป่าซาง - กิ่วสะไต ตอน 2 ระหว่าง กม.30+360 - กม.34+360 โดยมี ห้างหุ้นส่วนจำกัด เชียงรายทรายเพชร เป็นผู้รับจ้าง ผลการตรวจรับไม่มีปัญหาครับ</v>
      </c>
    </row>
    <row r="56" spans="1:11" x14ac:dyDescent="0.25">
      <c r="A56" s="6">
        <v>55</v>
      </c>
      <c r="B56" s="7" t="s">
        <v>220</v>
      </c>
      <c r="C56" s="10" t="s">
        <v>12</v>
      </c>
      <c r="D56" s="7" t="s">
        <v>211</v>
      </c>
      <c r="E56" s="7" t="s">
        <v>221</v>
      </c>
      <c r="F56" s="7" t="s">
        <v>222</v>
      </c>
      <c r="G56" s="7" t="s">
        <v>223</v>
      </c>
      <c r="H56" s="11">
        <v>45909</v>
      </c>
      <c r="I56" s="11">
        <v>45998</v>
      </c>
      <c r="J56" s="8" t="str">
        <f t="shared" si="0"/>
        <v>ชร.1/93/2568 ลว. 8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1190 ตอน จำบอน - เหมืองง่า ระหว่าง กม.1+300 - กม.4+380 โดยมี บริษัท สายรักไทย (1994) จำกัด เป็นผู้รับจ้าง</v>
      </c>
      <c r="K56" s="9" t="str">
        <f t="shared" si="1"/>
        <v>เรียน วว.ทล.2 ครับ ผอ.ขท.เชียงรายที่ 1 เป็นประธานตรวจรับงาน ชร.1/93/2568 ลว. 8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1190 ตอน จำบอน - เหมืองง่า ระหว่าง กม.1+300 - กม.4+380 โดยมี บริษัท สายรักไทย (1994) จำกัด เป็นผู้รับจ้าง ผลการตรวจรับไม่มีปัญหาครับ</v>
      </c>
    </row>
    <row r="57" spans="1:11" x14ac:dyDescent="0.25">
      <c r="A57" s="6">
        <v>56</v>
      </c>
      <c r="B57" s="7" t="s">
        <v>224</v>
      </c>
      <c r="C57" s="10" t="s">
        <v>12</v>
      </c>
      <c r="D57" s="7" t="s">
        <v>211</v>
      </c>
      <c r="E57" s="7" t="s">
        <v>221</v>
      </c>
      <c r="F57" s="7" t="s">
        <v>225</v>
      </c>
      <c r="G57" s="7" t="s">
        <v>226</v>
      </c>
      <c r="H57" s="11">
        <v>45909</v>
      </c>
      <c r="I57" s="11">
        <v>45998</v>
      </c>
      <c r="J57" s="8" t="str">
        <f t="shared" si="0"/>
        <v>ชร.1/94/2568 ลว. 8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1211 ตอน หนองเหียง - สวนดอก ระหว่าง กม.11+960 - กม.14+375 โดยมี บริษัท สายรักไทย (1994) จำกัด เป็นผู้รับจ้าง</v>
      </c>
      <c r="K57" s="9" t="str">
        <f t="shared" si="1"/>
        <v>เรียน วว.ทล.2 ครับ ผอ.ขท.เชียงรายที่ 1 เป็นประธานตรวจรับงาน ชร.1/94/2568 ลว. 8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1211 ตอน หนองเหียง - สวนดอก ระหว่าง กม.11+960 - กม.14+375 โดยมี บริษัท สายรักไทย (1994) จำกัด เป็นผู้รับจ้าง ผลการตรวจรับไม่มีปัญหาครับ</v>
      </c>
    </row>
    <row r="58" spans="1:11" x14ac:dyDescent="0.25">
      <c r="A58" s="6">
        <v>57</v>
      </c>
      <c r="B58" s="7" t="s">
        <v>227</v>
      </c>
      <c r="C58" s="10" t="s">
        <v>12</v>
      </c>
      <c r="D58" s="7" t="s">
        <v>228</v>
      </c>
      <c r="E58" s="7" t="s">
        <v>229</v>
      </c>
      <c r="F58" s="7" t="s">
        <v>230</v>
      </c>
      <c r="G58" s="7" t="s">
        <v>231</v>
      </c>
      <c r="H58" s="11">
        <v>45910</v>
      </c>
      <c r="I58" s="11">
        <v>45999</v>
      </c>
      <c r="J58" s="8" t="str">
        <f t="shared" si="0"/>
        <v>ชร.1/95/2568 ลว. 9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109 ตอน แม่สรวย - ห้วยป่าไร่ ระหว่าง กม.10+000 - กม.24+000 เป็นช่วงๆ โดยมี บริษัท เฟิสท์ ฉื่อ จิ้น ฮั้ว จำกัด เป็นผู้รับจ้าง</v>
      </c>
      <c r="K58" s="9" t="str">
        <f t="shared" si="1"/>
        <v>เรียน วว.ทล.2 ครับ ผอ.ขท.เชียงรายที่ 1 เป็นประธานตรวจรับงาน ชร.1/95/2568 ลว. 9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109 ตอน แม่สรวย - ห้วยป่าไร่ ระหว่าง กม.10+000 - กม.24+000 เป็นช่วงๆ โดยมี บริษัท เฟิสท์ ฉื่อ จิ้น ฮั้ว จำกัด เป็นผู้รับจ้าง ผลการตรวจรับไม่มีปัญหาครับ</v>
      </c>
    </row>
    <row r="59" spans="1:11" x14ac:dyDescent="0.25">
      <c r="A59" s="6">
        <v>58</v>
      </c>
      <c r="B59" s="7" t="s">
        <v>232</v>
      </c>
      <c r="C59" s="10" t="s">
        <v>12</v>
      </c>
      <c r="D59" s="7" t="s">
        <v>228</v>
      </c>
      <c r="E59" s="7" t="s">
        <v>233</v>
      </c>
      <c r="F59" s="7" t="s">
        <v>234</v>
      </c>
      <c r="G59" s="7" t="s">
        <v>235</v>
      </c>
      <c r="H59" s="11">
        <v>45910</v>
      </c>
      <c r="I59" s="11">
        <v>45999</v>
      </c>
      <c r="J59" s="8" t="str">
        <f t="shared" si="0"/>
        <v>ชร.1/96/2568 ลว. 9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1149 ตอน ห้วยไคร้ - ห้วยน้ำริน ตอน 2 ระหว่าง กม.11+000 - กม.15+760 โดยมี บริษัท ทาซ่าอินดัสเทรียล จำกัด เป็นผู้รับจ้าง</v>
      </c>
      <c r="K59" s="9" t="str">
        <f t="shared" si="1"/>
        <v>เรียน วว.ทล.2 ครับ ผอ.ขท.เชียงรายที่ 1 เป็นประธานตรวจรับงาน ชร.1/96/2568 ลว. 9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1149 ตอน ห้วยไคร้ - ห้วยน้ำริน ตอน 2 ระหว่าง กม.11+000 - กม.15+760 โดยมี บริษัท ทาซ่าอินดัสเทรียล จำกัด เป็นผู้รับจ้าง ผลการตรวจรับไม่มีปัญหาครับ</v>
      </c>
    </row>
    <row r="60" spans="1:11" x14ac:dyDescent="0.25">
      <c r="A60" s="6">
        <v>59</v>
      </c>
      <c r="B60" s="7" t="s">
        <v>236</v>
      </c>
      <c r="C60" s="10" t="s">
        <v>12</v>
      </c>
      <c r="D60" s="7" t="s">
        <v>228</v>
      </c>
      <c r="E60" s="7" t="s">
        <v>237</v>
      </c>
      <c r="F60" s="7" t="s">
        <v>238</v>
      </c>
      <c r="G60" s="7" t="s">
        <v>239</v>
      </c>
      <c r="H60" s="11">
        <v>45910</v>
      </c>
      <c r="I60" s="11">
        <v>45999</v>
      </c>
      <c r="J60" s="8" t="str">
        <f t="shared" si="0"/>
        <v>ชร.1/97/2568 ลว. 9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1016 ตอน แม่จัน - กิ่วพร้าว ระหว่าง กม.3+630 - กม.3+650 โดยมี บริษัท ไบร์ท อินโนเวชั่น จำกัด เป็นผู้รับจ้าง</v>
      </c>
      <c r="K60" s="9" t="str">
        <f t="shared" si="1"/>
        <v>เรียน วว.ทล.2 ครับ ผอ.ขท.เชียงรายที่ 1 เป็นประธานตรวจรับงาน ชร.1/97/2568 ลว. 9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1016 ตอน แม่จัน - กิ่วพร้าว ระหว่าง กม.3+630 - กม.3+650 โดยมี บริษัท ไบร์ท อินโนเวชั่น จำกัด เป็นผู้รับจ้าง ผลการตรวจรับไม่มีปัญหาครับ</v>
      </c>
    </row>
    <row r="61" spans="1:11" x14ac:dyDescent="0.25">
      <c r="A61" s="6">
        <v>60</v>
      </c>
      <c r="B61" s="7" t="s">
        <v>240</v>
      </c>
      <c r="C61" s="10" t="s">
        <v>12</v>
      </c>
      <c r="D61" s="7" t="s">
        <v>228</v>
      </c>
      <c r="E61" s="7" t="s">
        <v>237</v>
      </c>
      <c r="F61" s="7" t="s">
        <v>241</v>
      </c>
      <c r="G61" s="7" t="s">
        <v>242</v>
      </c>
      <c r="H61" s="11">
        <v>45910</v>
      </c>
      <c r="I61" s="11">
        <v>45999</v>
      </c>
      <c r="J61" s="8" t="str">
        <f t="shared" si="0"/>
        <v>ชร.1/98/2568 ลว. 9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งานซ่อมไฟสัญญาณจราจร ระบบควบคุมการจราจรแบบปรับได้ งานอำนวยความปลอดภัย เพื่อป้องกันและแก้ไขอุบัติเหตุทางถนน ทางหลวงหมายเลข 1 ตอนแยกแม่กรณ์ - ห้วยพลู ตอน 1 ระหว่าง กม.932+000 - กม.932+400 โดยมี บริษัท ไบร์ท อินโนเวชั่น จำกัด เป็นผู้รับจ้าง</v>
      </c>
      <c r="K61" s="9" t="str">
        <f t="shared" si="1"/>
        <v>เรียน วว.ทล.2 ครับ ผอ.ขท.เชียงรายที่ 1 เป็นประธานตรวจรับงาน ชร.1/98/2568 ลว. 9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งานซ่อมไฟสัญญาณจราจร ระบบควบคุมการจราจรแบบปรับได้ งานอำนวยความปลอดภัย เพื่อป้องกันและแก้ไขอุบัติเหตุทางถนน ทางหลวงหมายเลข 1 ตอนแยกแม่กรณ์ - ห้วยพลู ตอน 1 ระหว่าง กม.932+000 - กม.932+400 โดยมี บริษัท ไบร์ท อินโนเวชั่น จำกัด เป็นผู้รับจ้าง ผลการตรวจรับไม่มีปัญหาครับ</v>
      </c>
    </row>
    <row r="62" spans="1:11" x14ac:dyDescent="0.25">
      <c r="A62" s="6">
        <v>61</v>
      </c>
      <c r="B62" s="7" t="s">
        <v>243</v>
      </c>
      <c r="C62" s="10" t="s">
        <v>12</v>
      </c>
      <c r="D62" s="7" t="s">
        <v>228</v>
      </c>
      <c r="E62" s="7" t="s">
        <v>40</v>
      </c>
      <c r="F62" s="7" t="s">
        <v>244</v>
      </c>
      <c r="G62" s="7" t="s">
        <v>245</v>
      </c>
      <c r="H62" s="11">
        <v>45910</v>
      </c>
      <c r="I62" s="11">
        <v>46149</v>
      </c>
      <c r="J62" s="8" t="str">
        <f t="shared" si="0"/>
        <v>ชร.1/99/2568 ลว. 9 ก.ย.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3 ระหว่าง กม.0+600 - กม.0+800 โดยมี ห้างหุ้นส่วนจำกัด พัฒนานุภาพก่อสร้าง เป็นผู้รับจ้าง</v>
      </c>
      <c r="K62" s="9" t="str">
        <f t="shared" si="1"/>
        <v>เรียน วว.ทล.2 ครับ ผอ.ขท.เชียงรายที่ 1 เป็นประธานตรวจรับงาน ชร.1/99/2568 ลว. 9 ก.ย.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3 ระหว่าง กม.0+600 - กม.0+800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63" spans="1:11" x14ac:dyDescent="0.25">
      <c r="A63" s="6">
        <v>62</v>
      </c>
      <c r="B63" s="7" t="s">
        <v>246</v>
      </c>
      <c r="C63" s="10" t="s">
        <v>12</v>
      </c>
      <c r="D63" s="7" t="s">
        <v>228</v>
      </c>
      <c r="E63" s="7" t="s">
        <v>40</v>
      </c>
      <c r="F63" s="7" t="s">
        <v>247</v>
      </c>
      <c r="G63" s="7" t="s">
        <v>248</v>
      </c>
      <c r="H63" s="11">
        <v>45910</v>
      </c>
      <c r="I63" s="11">
        <v>46149</v>
      </c>
      <c r="J63" s="8" t="str">
        <f t="shared" si="0"/>
        <v>ชร.1/100/2568 ลว. 9 ก.ย.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4 ระหว่าง กม.0+100 - กม.0+200 โดยมี ห้างหุ้นส่วนจำกัด พัฒนานุภาพก่อสร้าง เป็นผู้รับจ้าง</v>
      </c>
      <c r="K63" s="9" t="str">
        <f t="shared" si="1"/>
        <v>เรียน วว.ทล.2 ครับ ผอ.ขท.เชียงรายที่ 1 เป็นประธานตรวจรับงาน ชร.1/100/2568 ลว. 9 ก.ย. 2568 งานจ้างก่อสร้างงบกลาง รายการเงินสำรองจ่ายเพื่อกรณีฉุกเฉินหรือจำเป็น เพื่อฟื้นฟูโครงสร้างพื้นฐานที่ได้รับความเสียหายจากอุทกภัยและภัยพิบัติ ทางหลวงหมายเลข 1389 ตอนควบคุม 0100 ตอน สถานีเพาะเลี้ยงสัตว์ป่าดอยตุง - วัดพระธาตุดอยตุง ตอน 4 ระหว่าง กม.0+100 - กม.0+200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64" spans="1:11" x14ac:dyDescent="0.25">
      <c r="A64" s="6">
        <v>63</v>
      </c>
      <c r="B64" s="7" t="s">
        <v>249</v>
      </c>
      <c r="C64" s="10" t="s">
        <v>12</v>
      </c>
      <c r="D64" s="7" t="s">
        <v>250</v>
      </c>
      <c r="E64" s="7" t="s">
        <v>251</v>
      </c>
      <c r="F64" s="7" t="s">
        <v>252</v>
      </c>
      <c r="G64" s="7" t="s">
        <v>253</v>
      </c>
      <c r="H64" s="11">
        <v>45911</v>
      </c>
      <c r="I64" s="11">
        <v>46000</v>
      </c>
      <c r="J64" s="8" t="str">
        <f t="shared" si="0"/>
        <v>ชร.1/101/2568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1233 ตอน ศรีทรายมูล - บ้านด้าย ระหว่าง กม.0+000 - กม.6+300 (เป็นช่วงๆ) โดยมี ห้างหุ้นส่วนจำกัด กรรณ์วิริยะ เป็นผู้รับจ้าง</v>
      </c>
      <c r="K64" s="9" t="str">
        <f t="shared" si="1"/>
        <v>เรียน วว.ทล.2 ครับ ผอ.ขท.เชียงรายที่ 1 เป็นประธานตรวจรับงาน ชร.1/101/2568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1233 ตอน ศรีทรายมูล - บ้านด้าย ระหว่าง กม.0+000 - กม.6+300 (เป็นช่วงๆ) โดยมี ห้างหุ้นส่วนจำกัด กรรณ์วิริยะ เป็นผู้รับจ้าง ผลการตรวจรับไม่มีปัญหาครับ</v>
      </c>
    </row>
    <row r="65" spans="1:12" x14ac:dyDescent="0.25">
      <c r="A65" s="6">
        <v>64</v>
      </c>
      <c r="B65" s="7" t="s">
        <v>254</v>
      </c>
      <c r="C65" s="10" t="s">
        <v>12</v>
      </c>
      <c r="D65" s="7" t="s">
        <v>250</v>
      </c>
      <c r="E65" s="7" t="s">
        <v>233</v>
      </c>
      <c r="F65" s="7" t="s">
        <v>255</v>
      </c>
      <c r="G65" s="7" t="s">
        <v>256</v>
      </c>
      <c r="H65" s="11">
        <v>45911</v>
      </c>
      <c r="I65" s="11">
        <v>46000</v>
      </c>
      <c r="J65" s="8" t="str">
        <f t="shared" si="0"/>
        <v>ชร.1/102/2568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107 ตอน เมืองงาม - แม่จัน ระหว่าง กม.205+121 - กม.240+301 (เป็นช่วงๆ) โดยมี บริษัท ทาซ่าอินดัสเทรียล จำกัด เป็นผู้รับจ้าง</v>
      </c>
      <c r="K65" s="9" t="str">
        <f t="shared" si="1"/>
        <v>เรียน วว.ทล.2 ครับ ผอ.ขท.เชียงรายที่ 1 เป็นประธานตรวจรับงาน ชร.1/102/2568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107 ตอน เมืองงาม - แม่จัน ระหว่าง กม.205+121 - กม.240+301 (เป็นช่วงๆ) โดยมี บริษัท ทาซ่าอินดัสเทรียล จำกัด เป็นผู้รับจ้าง ผลการตรวจรับไม่มีปัญหาครับ</v>
      </c>
    </row>
    <row r="66" spans="1:12" x14ac:dyDescent="0.25">
      <c r="A66" s="6">
        <v>65</v>
      </c>
      <c r="B66" s="7" t="s">
        <v>257</v>
      </c>
      <c r="C66" s="10" t="s">
        <v>12</v>
      </c>
      <c r="D66" s="7" t="s">
        <v>250</v>
      </c>
      <c r="E66" s="7" t="s">
        <v>258</v>
      </c>
      <c r="F66" s="7" t="s">
        <v>259</v>
      </c>
      <c r="G66" s="7" t="s">
        <v>260</v>
      </c>
      <c r="H66" s="11">
        <v>45911</v>
      </c>
      <c r="I66" s="11">
        <v>46000</v>
      </c>
      <c r="J66" s="8" t="str">
        <f t="shared" si="0"/>
        <v>ชร.1/103/2568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1 ระหว่าง กม.972+000 - กม.975+600 โดยมี บริษัท ไทยโซลิด จำกัด เป็นผู้รับจ้าง</v>
      </c>
      <c r="K66" s="9" t="str">
        <f t="shared" si="1"/>
        <v>เรียน วว.ทล.2 ครับ ผอ.ขท.เชียงรายที่ 1 เป็นประธานตรวจรับงาน ชร.1/103/2568 ลว. 10 ก.ย. 2568 งานจ้างก่อสร้างงบกลาง รายการค่าใช้จ่ายเพื่อกระตุ้นเศรษฐกิจ และสร้างความเข้มแข็งของระบบเศรษฐกิจ โครงการอำนวยความปลอดภัย เพื่อสนับสนุนโครงข่ายโลจิสติกส์และการขนส่ง งานติดตั้งไฟฟ้าแสงสว่าง งานอำนวยความปลอดภัย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1 ระหว่าง กม.972+000 - กม.975+600 โดยมี บริษัท ไทยโซลิด จำกัด เป็นผู้รับจ้าง ผลการตรวจรับไม่มีปัญหาครับ</v>
      </c>
    </row>
    <row r="67" spans="1:12" x14ac:dyDescent="0.25">
      <c r="A67" s="6">
        <v>66</v>
      </c>
      <c r="B67" s="7" t="s">
        <v>261</v>
      </c>
      <c r="C67" s="10" t="s">
        <v>12</v>
      </c>
      <c r="D67" s="7" t="s">
        <v>262</v>
      </c>
      <c r="E67" s="7" t="s">
        <v>85</v>
      </c>
      <c r="F67" s="7" t="s">
        <v>263</v>
      </c>
      <c r="G67" s="7" t="s">
        <v>264</v>
      </c>
      <c r="H67" s="11">
        <v>45912</v>
      </c>
      <c r="I67" s="11">
        <v>45971</v>
      </c>
      <c r="J67" s="8" t="str">
        <f t="shared" ref="J67:J85" si="2">IF(B67="","", B67 &amp; D67 &amp; " " &amp; F67 &amp; G67 &amp; " โดยมี "&amp; E67 &amp; " เป็นผู้รับจ้าง")</f>
        <v>ชร.1/104/2568 ลว. 11 ก.ย. 2568 งานจ้างก่อสร้าง งานเสริมผิวแอสฟัลต์ แขวงทางหลวงเชียงรายที่ 1 ทางหลวงหมายเลข 1 ตอนควบคุม 1403 ตอน แยกแม่กรณ์ - ห้วยพลู ระหว่าง กม.933+800 - กม.934+400 โดยมี ห้างหุ้นส่วนจำกัด เชียงรายทรายเพชร เป็นผู้รับจ้าง</v>
      </c>
      <c r="K67" s="9" t="str">
        <f t="shared" ref="K67:K85" si="3">IF(B67="","", "เรียน วว.ทล.2 ครับ ผอ.ขท."&amp; C67 &amp; " เป็นประธานตรวจรับงาน " &amp;B67 &amp; D67 &amp; " " &amp; F67 &amp; G67 &amp; " โดยมี "&amp; E67 &amp; " เป็นผู้รับจ้าง ผลการตรวจรับไม่มีปัญหาครับ")</f>
        <v>เรียน วว.ทล.2 ครับ ผอ.ขท.เชียงรายที่ 1 เป็นประธานตรวจรับงาน ชร.1/104/2568 ลว. 11 ก.ย. 2568 งานจ้างก่อสร้าง งานเสริมผิวแอสฟัลต์ แขวงทางหลวงเชียงรายที่ 1 ทางหลวงหมายเลข 1 ตอนควบคุม 1403 ตอน แยกแม่กรณ์ - ห้วยพลู ระหว่าง กม.933+800 - กม.934+400 โดยมี ห้างหุ้นส่วนจำกัด เชียงรายทรายเพชร เป็นผู้รับจ้าง ผลการตรวจรับไม่มีปัญหาครับ</v>
      </c>
    </row>
    <row r="68" spans="1:12" x14ac:dyDescent="0.25">
      <c r="A68" s="6">
        <v>67</v>
      </c>
      <c r="B68" s="7" t="s">
        <v>265</v>
      </c>
      <c r="C68" s="10" t="s">
        <v>12</v>
      </c>
      <c r="D68" s="7" t="s">
        <v>262</v>
      </c>
      <c r="E68" s="7" t="s">
        <v>85</v>
      </c>
      <c r="F68" s="7" t="s">
        <v>266</v>
      </c>
      <c r="G68" s="7" t="s">
        <v>267</v>
      </c>
      <c r="H68" s="11">
        <v>45912</v>
      </c>
      <c r="I68" s="11">
        <v>46031</v>
      </c>
      <c r="J68" s="8" t="str">
        <f t="shared" si="2"/>
        <v>ชร.1/105/2568 ลว. 11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ตอน 2 ระหว่าง กม.13+600 - กม.16+100 โดยมี ห้างหุ้นส่วนจำกัด เชียงรายทรายเพชร เป็นผู้รับจ้าง</v>
      </c>
      <c r="K68" s="9" t="str">
        <f t="shared" si="3"/>
        <v>เรียน วว.ทล.2 ครับ ผอ.ขท.เชียงรายที่ 1 เป็นประธานตรวจรับงาน ชร.1/105/2568 ลว. 11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ตอน 2 ระหว่าง กม.13+600 - กม.16+100 โดยมี ห้างหุ้นส่วนจำกัด เชียงรายทรายเพชร เป็นผู้รับจ้าง ผลการตรวจรับไม่มีปัญหาครับ</v>
      </c>
      <c r="L68" s="4" t="s">
        <v>268</v>
      </c>
    </row>
    <row r="69" spans="1:12" x14ac:dyDescent="0.25">
      <c r="A69" s="6">
        <v>68</v>
      </c>
      <c r="B69" s="7" t="s">
        <v>269</v>
      </c>
      <c r="C69" s="10" t="s">
        <v>12</v>
      </c>
      <c r="D69" s="7" t="s">
        <v>262</v>
      </c>
      <c r="E69" s="7" t="s">
        <v>237</v>
      </c>
      <c r="F69" s="7" t="s">
        <v>270</v>
      </c>
      <c r="G69" s="7" t="s">
        <v>271</v>
      </c>
      <c r="H69" s="11">
        <v>45912</v>
      </c>
      <c r="I69" s="11">
        <v>46001</v>
      </c>
      <c r="J69" s="8" t="str">
        <f t="shared" si="2"/>
        <v>ชร.1/106/2568 ลว. 11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2 ระหว่าง กม.991+517 - กม.991+917 โดยมี บริษัท ไบร์ท อินโนเวชั่น จำกัด เป็นผู้รับจ้าง</v>
      </c>
      <c r="K69" s="9" t="str">
        <f t="shared" si="3"/>
        <v>เรียน วว.ทล.2 ครับ ผอ.ขท.เชียงรายที่ 1 เป็นประธานตรวจรับงาน ชร.1/106/2568 ลว. 11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 ตอน แม่คำ - กลางสะพานแม่น้ำสาย (เขตแดนไทย/พม่า) ตอน 2 ระหว่าง กม.991+517 - กม.991+917 โดยมี บริษัท ไบร์ท อินโนเวชั่น จำกัด เป็นผู้รับจ้าง ผลการตรวจรับไม่มีปัญหาครับ</v>
      </c>
    </row>
    <row r="70" spans="1:12" x14ac:dyDescent="0.25">
      <c r="A70" s="6">
        <v>69</v>
      </c>
      <c r="B70" s="7" t="s">
        <v>272</v>
      </c>
      <c r="C70" s="10" t="s">
        <v>12</v>
      </c>
      <c r="D70" s="7" t="s">
        <v>262</v>
      </c>
      <c r="E70" s="7" t="s">
        <v>237</v>
      </c>
      <c r="F70" s="7" t="s">
        <v>273</v>
      </c>
      <c r="G70" s="7" t="s">
        <v>274</v>
      </c>
      <c r="H70" s="11">
        <v>45912</v>
      </c>
      <c r="I70" s="11">
        <v>46001</v>
      </c>
      <c r="J70" s="8" t="str">
        <f t="shared" si="2"/>
        <v>ชร.1/107/2568 ลว. 11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131 ตอน ทางเลี่ยงเมืองเชียงราย ตอน 1 ระหว่าง กม.4+450 - กม.4+550 โดยมี บริษัท ไบร์ท อินโนเวชั่น จำกัด เป็นผู้รับจ้าง</v>
      </c>
      <c r="K70" s="9" t="str">
        <f t="shared" si="3"/>
        <v>เรียน วว.ทล.2 ครับ ผอ.ขท.เชียงรายที่ 1 เป็นประธานตรวจรับงาน ชร.1/107/2568 ลว. 11 ก.ย. 2568 งานจ้างก่อสร้างงบกลาง รายการค่าใช้จ่ายเพื่อกระ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 งานซ่อมไฟจราจร ระบบการควบคุมจราจรแบบปรับได้ งานอำนวบคุมปลอดภัย เพื่อป้องกันและแก้ไขอุบัติเหตุทางถนน ทางหลวงหมายเลข 131 ตอน ทางเลี่ยงเมืองเชียงราย ตอน 1 ระหว่าง กม.4+450 - กม.4+550 โดยมี บริษัท ไบร์ท อินโนเวชั่น จำกัด เป็นผู้รับจ้าง ผลการตรวจรับไม่มีปัญหาครับ</v>
      </c>
    </row>
    <row r="71" spans="1:12" x14ac:dyDescent="0.25">
      <c r="A71" s="6">
        <v>70</v>
      </c>
      <c r="B71" s="7" t="s">
        <v>275</v>
      </c>
      <c r="C71" s="10" t="s">
        <v>12</v>
      </c>
      <c r="D71" s="7" t="s">
        <v>262</v>
      </c>
      <c r="E71" s="7" t="s">
        <v>276</v>
      </c>
      <c r="F71" s="7" t="s">
        <v>277</v>
      </c>
      <c r="G71" s="7" t="s">
        <v>278</v>
      </c>
      <c r="H71" s="11">
        <v>45912</v>
      </c>
      <c r="I71" s="11">
        <v>46001</v>
      </c>
      <c r="J71" s="8" t="str">
        <f t="shared" si="2"/>
        <v>ชร.1/108/2568 ลว. 11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เพื่อสนับสนุนโครงข่ายโลจิสติกส์และการขนส่งงานป้ายข้างทาง งานอำนวยความปลอดภัยเพื่อป้องกันและแก้ไขอุบัติเหตุทางถนน ทางหลวงหมายเลข 1334 ตอน ผาบือ - ดอยข้างมูบ ตอน 1 ระหว่าง กม.0+000 - กม.18+000 โดยมี ห้างหุ้นส่วนจำกัด โรดเวย์ เอนเตอร์ไพรส์ เป็นผู้รับจ้าง</v>
      </c>
      <c r="K71" s="9" t="str">
        <f t="shared" si="3"/>
        <v>เรียน วว.ทล.2 ครับ ผอ.ขท.เชียงรายที่ 1 เป็นประธานตรวจรับงาน ชร.1/108/2568 ลว. 11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อำนวยความปลอดภัย เพื่อสนับสนุนโครงข่ายโลจิสติกส์และการขนส่งงานป้ายข้างทาง งานอำนวยความปลอดภัยเพื่อป้องกันและแก้ไขอุบัติเหตุทางถนน ทางหลวงหมายเลข 1334 ตอน ผาบือ - ดอยข้างมูบ ตอน 1 ระหว่าง กม.0+000 - กม.18+000 โดยมี ห้างหุ้นส่วนจำกัด โรดเวย์ เอนเตอร์ไพรส์ เป็นผู้รับจ้าง ผลการตรวจรับไม่มีปัญหาครับ</v>
      </c>
    </row>
    <row r="72" spans="1:12" x14ac:dyDescent="0.25">
      <c r="A72" s="6">
        <v>71</v>
      </c>
      <c r="B72" s="7" t="s">
        <v>279</v>
      </c>
      <c r="C72" s="10" t="s">
        <v>12</v>
      </c>
      <c r="D72" s="7" t="s">
        <v>280</v>
      </c>
      <c r="E72" s="7" t="s">
        <v>36</v>
      </c>
      <c r="F72" s="7" t="s">
        <v>281</v>
      </c>
      <c r="G72" s="7" t="s">
        <v>282</v>
      </c>
      <c r="H72" s="11">
        <v>45917</v>
      </c>
      <c r="I72" s="11">
        <v>46010</v>
      </c>
      <c r="J72" s="8" t="str">
        <f t="shared" si="2"/>
        <v>ชร.1/113/2568 ลว. 16 ก.ย. 2568 งานโครงการก่อสร้างงบกลาง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118 ตอน ดอยงานแก้ว - แม่สรวย ตอน 2 ระหว่าง กม.88+000 - กม.89+900 โดยมี ห้างหุ้นส่วนจำกัด ดวงดีคอนกรีต เป็นผู้รับจ้าง</v>
      </c>
      <c r="K72" s="9" t="str">
        <f t="shared" si="3"/>
        <v>เรียน วว.ทล.2 ครับ ผอ.ขท.เชียงรายที่ 1 เป็นประธานตรวจรับงาน ชร.1/113/2568 ลว. 16 ก.ย. 2568 งานโครงการก่อสร้างงบกลาง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118 ตอน ดอยงานแก้ว - แม่สรวย ตอน 2 ระหว่าง กม.88+000 - กม.89+900 โดยมี ห้างหุ้นส่วนจำกัด ดวงดีคอนกรีต เป็นผู้รับจ้าง ผลการตรวจรับไม่มีปัญหาครับ</v>
      </c>
    </row>
    <row r="73" spans="1:12" x14ac:dyDescent="0.25">
      <c r="A73" s="6">
        <v>72</v>
      </c>
      <c r="B73" s="7" t="s">
        <v>283</v>
      </c>
      <c r="C73" s="10" t="s">
        <v>12</v>
      </c>
      <c r="D73" s="7" t="s">
        <v>284</v>
      </c>
      <c r="E73" s="7" t="s">
        <v>285</v>
      </c>
      <c r="F73" s="7" t="s">
        <v>286</v>
      </c>
      <c r="G73" s="7" t="s">
        <v>287</v>
      </c>
      <c r="H73" s="11">
        <v>45918</v>
      </c>
      <c r="I73" s="11">
        <v>46007</v>
      </c>
      <c r="J73" s="8" t="str">
        <f t="shared" si="2"/>
        <v>ชร.1/114/2568 ลว. 17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1306 ตอน ห้วยสัก - บ้านดอน ระหว่าง กม.5+140 - กม7+710 โดยมี บริษัทเชียงรายแลนด์ แอสโซซิเอทส์ จำกัด เป็นผู้รับจ้าง</v>
      </c>
      <c r="K73" s="9" t="str">
        <f t="shared" si="3"/>
        <v>เรียน วว.ทล.2 ครับ ผอ.ขท.เชียงรายที่ 1 เป็นประธานตรวจรับงาน ชร.1/114/2568 ลว. 17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1306 ตอน ห้วยสัก - บ้านดอน ระหว่าง กม.5+140 - กม7+710 โดยมี บริษัทเชียงรายแลนด์ แอสโซซิเอทส์ จำกัด เป็นผู้รับจ้าง ผลการตรวจรับไม่มีปัญหาครับ</v>
      </c>
      <c r="L73" s="4" t="s">
        <v>288</v>
      </c>
    </row>
    <row r="74" spans="1:12" x14ac:dyDescent="0.25">
      <c r="A74" s="6">
        <v>73</v>
      </c>
      <c r="B74" s="7" t="s">
        <v>289</v>
      </c>
      <c r="C74" s="10" t="s">
        <v>12</v>
      </c>
      <c r="D74" s="7" t="s">
        <v>290</v>
      </c>
      <c r="E74" s="7" t="s">
        <v>85</v>
      </c>
      <c r="F74" s="7" t="s">
        <v>291</v>
      </c>
      <c r="G74" s="7" t="s">
        <v>292</v>
      </c>
      <c r="H74" s="11">
        <v>45919</v>
      </c>
      <c r="I74" s="11">
        <v>46008</v>
      </c>
      <c r="J74" s="8" t="str">
        <f t="shared" si="2"/>
        <v>ชร.1/121/2568 ลว. 18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109 ตอน แม่สรวย - ห้วยป่าไร่ ระหว่าง กม.19+800 - 22+050 โดยมี ห้างหุ้นส่วนจำกัด เชียงรายทรายเพชร เป็นผู้รับจ้าง</v>
      </c>
      <c r="K74" s="9" t="str">
        <f t="shared" si="3"/>
        <v>เรียน วว.ทล.2 ครับ ผอ.ขท.เชียงรายที่ 1 เป็นประธานตรวจรับงาน ชร.1/121/2568 ลว. 18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109 ตอน แม่สรวย - ห้วยป่าไร่ ระหว่าง กม.19+800 - 22+050 โดยมี ห้างหุ้นส่วนจำกัด เชียงรายทรายเพชร เป็นผู้รับจ้าง ผลการตรวจรับไม่มีปัญหาครับ</v>
      </c>
    </row>
    <row r="75" spans="1:12" x14ac:dyDescent="0.25">
      <c r="A75" s="6">
        <v>74</v>
      </c>
      <c r="B75" s="7" t="s">
        <v>293</v>
      </c>
      <c r="C75" s="10" t="s">
        <v>12</v>
      </c>
      <c r="D75" s="7" t="s">
        <v>294</v>
      </c>
      <c r="E75" s="7" t="s">
        <v>40</v>
      </c>
      <c r="F75" s="7" t="s">
        <v>295</v>
      </c>
      <c r="G75" s="7" t="s">
        <v>296</v>
      </c>
      <c r="H75" s="11">
        <v>45920</v>
      </c>
      <c r="I75" s="11">
        <v>46009</v>
      </c>
      <c r="J75" s="8" t="str">
        <f t="shared" si="2"/>
        <v>ชร.1/122/2568 ลว. 19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งานบูรณะผิวทางแอสฟัลต์งานบำรุงพิเศษและบูรณะ ทางหลวงหมายเลข 1130 ตอน ป่าซาง - กิ่วสะไต ตอน 4 ระหว่าง กม.44+030 - กม.46+550 โดยมี ห้างหุ้นส่วนจำกัด พัฒนานุภาพก่อสร้าง เป็นผู้รับจ้าง</v>
      </c>
      <c r="K75" s="9" t="str">
        <f t="shared" si="3"/>
        <v>เรียน วว.ทล.2 ครับ ผอ.ขท.เชียงรายที่ 1 เป็นประธานตรวจรับงาน ชร.1/122/2568 ลว. 19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งานบูรณะผิวทางแอสฟัลต์งานบำรุงพิเศษและบูรณะ ทางหลวงหมายเลข 1130 ตอน ป่าซาง - กิ่วสะไต ตอน 4 ระหว่าง กม.44+030 - กม.46+550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76" spans="1:12" x14ac:dyDescent="0.25">
      <c r="A76" s="6">
        <v>75</v>
      </c>
      <c r="B76" s="7" t="s">
        <v>297</v>
      </c>
      <c r="C76" s="10" t="s">
        <v>12</v>
      </c>
      <c r="D76" s="7" t="s">
        <v>298</v>
      </c>
      <c r="E76" s="7" t="s">
        <v>85</v>
      </c>
      <c r="F76" s="7" t="s">
        <v>299</v>
      </c>
      <c r="G76" s="7" t="s">
        <v>300</v>
      </c>
      <c r="H76" s="11">
        <v>45923</v>
      </c>
      <c r="I76" s="11">
        <v>46012</v>
      </c>
      <c r="J76" s="8" t="str">
        <f t="shared" si="2"/>
        <v>ชร.1/123/2568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118 ตอน ดอยนายแก้ว - แม่สรวย ระหว่าง กม.76+125 - กม.77+315 โดยมี ห้างหุ้นส่วนจำกัด เชียงรายทรายเพชร เป็นผู้รับจ้าง</v>
      </c>
      <c r="K76" s="9" t="str">
        <f t="shared" si="3"/>
        <v>เรียน วว.ทล.2 ครับ ผอ.ขท.เชียงรายที่ 1 เป็นประธานตรวจรับงาน ชร.1/123/2568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งานบูรณะทางผิวแอสฟัลต์งานบำรุงพิเศษและบูรณะ ทางหลวงหมายเลข 118 ตอน ดอยนายแก้ว - แม่สรวย ระหว่าง กม.76+125 - กม.77+315 โดยมี ห้างหุ้นส่วนจำกัด เชียงรายทรายเพชร เป็นผู้รับจ้าง ผลการตรวจรับไม่มีปัญหาครับ</v>
      </c>
    </row>
    <row r="77" spans="1:12" x14ac:dyDescent="0.25">
      <c r="A77" s="6">
        <v>76</v>
      </c>
      <c r="B77" s="7" t="s">
        <v>301</v>
      </c>
      <c r="C77" s="10" t="s">
        <v>12</v>
      </c>
      <c r="D77" s="7" t="s">
        <v>298</v>
      </c>
      <c r="E77" s="7" t="s">
        <v>73</v>
      </c>
      <c r="F77" s="7" t="s">
        <v>302</v>
      </c>
      <c r="G77" s="7" t="s">
        <v>303</v>
      </c>
      <c r="H77" s="11">
        <v>45923</v>
      </c>
      <c r="I77" s="11">
        <v>46012</v>
      </c>
      <c r="J77" s="8" t="str">
        <f t="shared" si="2"/>
        <v>ชร.1/124/2568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109 ตอน แม่สรวย - ห้วยป่าไร่ ตอน 3 ระหว่าง กม.22+760 - กม.24+860 โดยมี บริษัท หาญเจริญเอนเตอร์ไพรส์เชียงราย จำกัด เป็นผู้รับจ้าง</v>
      </c>
      <c r="K77" s="9" t="str">
        <f t="shared" si="3"/>
        <v>เรียน วว.ทล.2 ครับ ผอ.ขท.เชียงรายที่ 1 เป็นประธานตรวจรับงาน ชร.1/124/2568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109 ตอน แม่สรวย - ห้วยป่าไร่ ตอน 3 ระหว่าง กม.22+760 - กม.24+860 โดยมี บริษัท หาญเจริญเอนเตอร์ไพรส์เชียงราย จำกัด เป็นผู้รับจ้าง ผลการตรวจรับไม่มีปัญหาครับ</v>
      </c>
      <c r="L77" s="4" t="s">
        <v>304</v>
      </c>
    </row>
    <row r="78" spans="1:12" x14ac:dyDescent="0.25">
      <c r="A78" s="6">
        <v>77</v>
      </c>
      <c r="B78" s="7" t="s">
        <v>305</v>
      </c>
      <c r="C78" s="10" t="s">
        <v>12</v>
      </c>
      <c r="D78" s="7" t="s">
        <v>298</v>
      </c>
      <c r="E78" s="7" t="s">
        <v>85</v>
      </c>
      <c r="F78" s="7" t="s">
        <v>306</v>
      </c>
      <c r="G78" s="7" t="s">
        <v>307</v>
      </c>
      <c r="H78" s="11">
        <v>45923</v>
      </c>
      <c r="I78" s="11">
        <v>46012</v>
      </c>
      <c r="J78" s="8" t="str">
        <f t="shared" si="2"/>
        <v>ชร.1/125/2568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1306 ตอน ห้วยสัก - บ้านดอน ระหว่าง กม.1+500 - กม.4+700 โดยมี ห้างหุ้นส่วนจำกัด เชียงรายทรายเพชร เป็นผู้รับจ้าง</v>
      </c>
      <c r="K78" s="9" t="str">
        <f t="shared" si="3"/>
        <v>เรียน วว.ทล.2 ครับ ผอ.ขท.เชียงรายที่ 1 เป็นประธานตรวจรับงาน ชร.1/125/2568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1306 ตอน ห้วยสัก - บ้านดอน ระหว่าง กม.1+500 - กม.4+700 โดยมี ห้างหุ้นส่วนจำกัด เชียงรายทรายเพชร เป็นผู้รับจ้าง ผลการตรวจรับไม่มีปัญหาครับ</v>
      </c>
    </row>
    <row r="79" spans="1:12" x14ac:dyDescent="0.25">
      <c r="A79" s="6">
        <v>78</v>
      </c>
      <c r="B79" s="7" t="s">
        <v>308</v>
      </c>
      <c r="C79" s="10" t="s">
        <v>12</v>
      </c>
      <c r="D79" s="7" t="s">
        <v>298</v>
      </c>
      <c r="E79" s="7" t="s">
        <v>309</v>
      </c>
      <c r="F79" s="7" t="s">
        <v>310</v>
      </c>
      <c r="G79" s="7" t="s">
        <v>311</v>
      </c>
      <c r="H79" s="11">
        <v>45923</v>
      </c>
      <c r="I79" s="11">
        <v>46012</v>
      </c>
      <c r="J79" s="8" t="str">
        <f t="shared" si="2"/>
        <v>ชร.1/126/2568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1354 ตอน ทางเข้าพาน ระหว่าง กม.0+089 - กม.1+800 โดยมี ห้างหุ้นส่วนจำกัด หลิ่มเซ่งพงษ์ เป็นผู้รับจ้าง</v>
      </c>
      <c r="K79" s="9" t="str">
        <f t="shared" si="3"/>
        <v>เรียน วว.ทล.2 ครับ ผอ.ขท.เชียงรายที่ 1 เป็นประธานตรวจรับงาน ชร.1/126/2568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งานบำรุงตามกำหนดเวลาทางหลวงหมายเลข 1354 ตอน ทางเข้าพาน ระหว่าง กม.0+089 - กม.1+800 โดยมี ห้างหุ้นส่วนจำกัด หลิ่มเซ่งพงษ์ เป็นผู้รับจ้าง ผลการตรวจรับไม่มีปัญหาครับ</v>
      </c>
    </row>
    <row r="80" spans="1:12" x14ac:dyDescent="0.25">
      <c r="A80" s="6">
        <v>79</v>
      </c>
      <c r="B80" s="7" t="s">
        <v>312</v>
      </c>
      <c r="C80" s="10" t="s">
        <v>12</v>
      </c>
      <c r="D80" s="7" t="s">
        <v>298</v>
      </c>
      <c r="E80" s="7" t="s">
        <v>73</v>
      </c>
      <c r="F80" s="7" t="s">
        <v>313</v>
      </c>
      <c r="G80" s="7" t="s">
        <v>314</v>
      </c>
      <c r="H80" s="11">
        <v>45923</v>
      </c>
      <c r="I80" s="11">
        <v>46012</v>
      </c>
      <c r="J80" s="8" t="str">
        <f t="shared" si="2"/>
        <v>ชร.1/127/2568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ระหว่าง กม.0+100 - กม.1+500 โดยมี บริษัท หาญเจริญเอนเตอร์ไพรส์เชียงราย จำกัด เป็นผู้รับจ้าง</v>
      </c>
      <c r="K80" s="9" t="str">
        <f t="shared" si="3"/>
        <v>เรียน วว.ทล.2 ครับ ผอ.ขท.เชียงรายที่ 1 เป็นประธานตรวจรับงาน ชร.1/127/2568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งานเสริมผิวแอสฟัลต์ งานบำรุงตามกำหนดเวลา ทางหลวงหมายเลข 131 ตอน ทางเลี่ยงเมืองเชียงราย ระหว่าง กม.0+100 - กม.1+500 โดยมี บริษัท หาญเจริญเอนเตอร์ไพรส์เชียงราย จำกัด เป็นผู้รับจ้าง ผลการตรวจรับไม่มีปัญหาครับ</v>
      </c>
      <c r="L80" s="4" t="s">
        <v>315</v>
      </c>
    </row>
    <row r="81" spans="1:11" x14ac:dyDescent="0.25">
      <c r="A81" s="6">
        <v>80</v>
      </c>
      <c r="B81" s="7" t="s">
        <v>316</v>
      </c>
      <c r="C81" s="10" t="s">
        <v>12</v>
      </c>
      <c r="D81" s="7" t="s">
        <v>298</v>
      </c>
      <c r="E81" s="7" t="s">
        <v>105</v>
      </c>
      <c r="F81" s="7" t="s">
        <v>317</v>
      </c>
      <c r="G81" s="7" t="s">
        <v>318</v>
      </c>
      <c r="H81" s="11">
        <v>45923</v>
      </c>
      <c r="I81" s="11">
        <v>46012</v>
      </c>
      <c r="J81" s="8" t="str">
        <f t="shared" si="2"/>
        <v>ชร.1/128/2568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งานบูรณะผิวทางแอสฟัลต์ งานบำรุงพิเศษและบูรณะ ทางหลวงหมายเลข 1130 ตอน ป่าซาง - กิ่วสะไต ตอน 2 ระหว่าง กม.17+700 - กม.20+960 โดยมี บริษัท ภาคเหนือวัสดุ จำกัด เป็นผู้รับจ้าง</v>
      </c>
      <c r="K81" s="9" t="str">
        <f t="shared" si="3"/>
        <v>เรียน วว.ทล.2 ครับ ผอ.ขท.เชียงรายที่ 1 เป็นประธานตรวจรับงาน ชร.1/128/2568 ลว. 22 ก.ย. 2568 งานจ้างก่อสร้างงบกลาง รายการค่าใช้จ่ายเพื่อการกระตุ้นเศรษฐกิจและสร้างความเข้มแข็งของระบบเศรษฐกิจ โครงการบำรุงรักษาทางหลวง เพื่อสนับสนุนโครงข่ายโลจิสติกส์และการขนส่ง งานบูรณะผิวทางแอสฟัลต์ งานบำรุงพิเศษและบูรณะ ทางหลวงหมายเลข 1130 ตอน ป่าซาง - กิ่วสะไต ตอน 2 ระหว่าง กม.17+700 - กม.20+960 โดยมี บริษัท ภาคเหนือวัสดุ จำกัด เป็นผู้รับจ้าง ผลการตรวจรับไม่มีปัญหาครับ</v>
      </c>
    </row>
    <row r="82" spans="1:11" x14ac:dyDescent="0.25">
      <c r="A82" s="6">
        <v>81</v>
      </c>
      <c r="B82" s="7" t="s">
        <v>319</v>
      </c>
      <c r="C82" s="10" t="s">
        <v>12</v>
      </c>
      <c r="D82" s="7" t="s">
        <v>320</v>
      </c>
      <c r="E82" s="7" t="s">
        <v>321</v>
      </c>
      <c r="F82" s="7" t="s">
        <v>322</v>
      </c>
      <c r="G82" s="7" t="s">
        <v>323</v>
      </c>
      <c r="H82" s="11">
        <v>45926</v>
      </c>
      <c r="I82" s="11">
        <v>46015</v>
      </c>
      <c r="J82" s="8" t="str">
        <f t="shared" si="2"/>
        <v>ชร.1/129/2568 ลว. 25 ก.ย. 2568 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ระหว่าง กม.81+100 - กม.82+900 โดยมี บริษัท ล้านนาซีวิลเอ็นจิเนียริ่ง จำกัด เป็นผู้รับจ้าง</v>
      </c>
      <c r="K82" s="9" t="str">
        <f t="shared" si="3"/>
        <v>เรียน วว.ทล.2 ครับ ผอ.ขท.เชียงรายที่ 1 เป็นประธานตรวจรับงาน ชร.1/129/2568 ลว. 25 ก.ย. 2568 งานจ้างก่อสร้างงบกลาง รายการค่าใช้จ่ายเพื่อการกระตุ้นเศษฐกิจและสร้างความเข้มแข็งของระบบเศรษฐกิจ โครงการบำรุงรักษาทางหลวง เพื่อสนับสนุนโครงข่ายโลจิกติกส์และการขนส่ง งานบูรณะทางผิวแอสฟัลต์ งานบำรุงพิเศษและบูรณะ ทางหลวงหมายเลข 118 ตอน ดอยนางแก้ว - แม่สรวย ระหว่าง กม.81+100 - กม.82+900 โดยมี บริษัท ล้านนาซีวิลเอ็นจิเนียริ่ง จำกัด เป็นผู้รับจ้าง ผลการตรวจรับไม่มีปัญหาครับ</v>
      </c>
    </row>
    <row r="83" spans="1:11" x14ac:dyDescent="0.25">
      <c r="A83" s="6">
        <v>82</v>
      </c>
      <c r="B83" s="7" t="s">
        <v>324</v>
      </c>
      <c r="C83" s="10" t="s">
        <v>12</v>
      </c>
      <c r="D83" s="7" t="s">
        <v>325</v>
      </c>
      <c r="E83" s="7" t="s">
        <v>326</v>
      </c>
      <c r="F83" s="7" t="s">
        <v>327</v>
      </c>
      <c r="G83" s="7" t="s">
        <v>328</v>
      </c>
      <c r="H83" s="11">
        <v>45927</v>
      </c>
      <c r="I83" s="11">
        <v>46017</v>
      </c>
      <c r="J83" s="8" t="str">
        <f t="shared" si="2"/>
        <v>ชร.1/130/2568 ลว. 26 ก.ย. 2568 งานจ้างก่อสร้างปรับปรุงจุดกลับรถหน้าโรงพยาบาลแม่จัน ทางหลวงหมายเลข 1 ตอนควบคุม 1404 ตอน ห้วยพลู - แม่คำ ระหว่าง กม.958+700 -959+200 โดยมี บริษัท สมทรงแม็คโคร คอนเน็คชั่น จำกัด เป็นผู้รับจ้าง</v>
      </c>
      <c r="K83" s="9" t="str">
        <f t="shared" si="3"/>
        <v>เรียน วว.ทล.2 ครับ ผอ.ขท.เชียงรายที่ 1 เป็นประธานตรวจรับงาน ชร.1/130/2568 ลว. 26 ก.ย. 2568 งานจ้างก่อสร้างปรับปรุงจุดกลับรถหน้าโรงพยาบาลแม่จัน ทางหลวงหมายเลข 1 ตอนควบคุม 1404 ตอน ห้วยพลู - แม่คำ ระหว่าง กม.958+700 -959+200 โดยมี บริษัท สมทรงแม็คโคร คอนเน็คชั่น จำกัด เป็นผู้รับจ้าง ผลการตรวจรับไม่มีปัญหาครับ</v>
      </c>
    </row>
    <row r="84" spans="1:11" x14ac:dyDescent="0.25">
      <c r="A84" s="6">
        <v>83</v>
      </c>
      <c r="B84" s="7" t="s">
        <v>329</v>
      </c>
      <c r="C84" s="10" t="s">
        <v>12</v>
      </c>
      <c r="D84" s="7" t="s">
        <v>330</v>
      </c>
      <c r="E84" s="7" t="s">
        <v>27</v>
      </c>
      <c r="F84" s="7" t="s">
        <v>331</v>
      </c>
      <c r="G84" s="7" t="s">
        <v>332</v>
      </c>
      <c r="H84" s="11">
        <v>45959</v>
      </c>
      <c r="I84" s="11">
        <v>46198</v>
      </c>
      <c r="J84" s="8" t="str">
        <f t="shared" si="2"/>
        <v>ชร.1/132/2568 ลว. 28 ต.ค. 2568 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131 ตอบควบคุม 0100 ตอน ทางเลี่ยงเมืองเชียงราย ระหว่าง กม.8+700 - กม.9+300 โดยมี บริษัท ธนะวงศ์กรุ๊ป จำกัด เป็นผู้รับจ้าง</v>
      </c>
      <c r="K84" s="9" t="str">
        <f t="shared" si="3"/>
        <v>เรียน วว.ทล.2 ครับ ผอ.ขท.เชียงรายที่ 1 เป็นประธานตรวจรับงาน ชร.1/132/2568 ลว. 28 ต.ค. 2568 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131 ตอบควบคุม 0100 ตอน ทางเลี่ยงเมืองเชียงราย ระหว่าง กม.8+700 - กม.9+300 โดยมี บริษัท ธนะวงศ์กรุ๊ป จำกัด เป็นผู้รับจ้าง ผลการตรวจรับไม่มีปัญหาครับ</v>
      </c>
    </row>
    <row r="85" spans="1:11" x14ac:dyDescent="0.25">
      <c r="A85" s="6">
        <v>84</v>
      </c>
      <c r="B85" s="7" t="s">
        <v>333</v>
      </c>
      <c r="C85" s="10" t="s">
        <v>12</v>
      </c>
      <c r="D85" s="7" t="s">
        <v>330</v>
      </c>
      <c r="E85" s="7" t="s">
        <v>27</v>
      </c>
      <c r="F85" s="7" t="s">
        <v>334</v>
      </c>
      <c r="G85" s="7" t="s">
        <v>335</v>
      </c>
      <c r="H85" s="11">
        <v>45959</v>
      </c>
      <c r="I85" s="11">
        <v>46198</v>
      </c>
      <c r="J85" s="8" t="str">
        <f t="shared" si="2"/>
        <v>ชร.1/133/2568 ลว. 28 ต.ค. 2568 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1232 ตอบควบคุม 0100 ตอน อนุสาวรีย์พ่อขุนเม็งราย - เวียงชัย ระหว่าง กม.0+000 - กม.2+000 โดยมี บริษัท ธนะวงศ์กรุ๊ป จำกัด เป็นผู้รับจ้าง</v>
      </c>
      <c r="K85" s="9" t="str">
        <f t="shared" si="3"/>
        <v>เรียน วว.ทล.2 ครับ ผอ.ขท.เชียงรายที่ 1 เป็นประธานตรวจรับงาน ชร.1/133/2568 ลว. 28 ต.ค. 2568 งานจ้างก่อสร้างงาน งบกลาง รายการเงินสำรองจ่ายเพื่อกรณีฉุกเฉินหรือจำเป็น เพื่อเป็นค่าใช้จ่ายในการดำเนินโครงการฟื้นฟูพื้นที่ ที่ได้รับผลกระทบจากอุทกภัยของจังหวัดเชียงราย โครงการฟื้นฟูและป้องกันทางหลวงที่ได้รับความเสียหายจากอุทกภัย งานฟื้นฟูทางหลวง ทางหลวงหมายเลข 1232 ตอบควบคุม 0100 ตอน อนุสาวรีย์พ่อขุนเม็งราย - เวียงชัย ระหว่าง กม.0+000 - กม.2+000 โดยมี บริษัท ธนะวงศ์กรุ๊ป จำกัด เป็นผู้รับจ้าง ผลการตรวจรับไม่มีปัญหาครับ</v>
      </c>
    </row>
    <row r="86" spans="1:11" x14ac:dyDescent="0.25">
      <c r="A86" s="6">
        <v>85</v>
      </c>
      <c r="B86" s="7"/>
      <c r="C86" s="10"/>
      <c r="D86" s="7"/>
      <c r="E86" s="7"/>
      <c r="F86" s="7"/>
      <c r="G86" s="7"/>
      <c r="H86" s="11"/>
      <c r="I86" s="11"/>
      <c r="J86" s="8"/>
      <c r="K86" s="9"/>
    </row>
    <row r="87" spans="1:11" x14ac:dyDescent="0.25">
      <c r="A87" s="6">
        <v>86</v>
      </c>
      <c r="B87" s="7" t="s">
        <v>336</v>
      </c>
      <c r="C87" s="10" t="s">
        <v>337</v>
      </c>
      <c r="D87" s="7" t="s">
        <v>211</v>
      </c>
      <c r="E87" s="7" t="s">
        <v>27</v>
      </c>
      <c r="F87" s="7" t="s">
        <v>338</v>
      </c>
      <c r="G87" s="7" t="s">
        <v>339</v>
      </c>
      <c r="H87" s="11">
        <v>45909</v>
      </c>
      <c r="I87" s="11">
        <v>46148</v>
      </c>
      <c r="J87" s="8" t="str">
        <f t="shared" ref="J87:J94" si="4">IF(B87="","", B87 &amp; D87 &amp; " " &amp; F87 &amp; G87 &amp; " โดยมี "&amp; E87 &amp; " เป็นผู้รับจ้าง")</f>
        <v>ชร.2/59/2568 ลว. 8 ก.ย. 2568 งานจ้างเหมาทำการ งานเพื่อพื้นฟูโครงสร้างพื้นฐานที่ได้รับความเสียหายจากอุทกภัยและภัยพิบัติ ทางหลวงหมายเลข 1155 ตอนควบคุม 0101 ตอน บ้านปี้ - ทรายกาด ตอน 3 ระหว่าง กม.5+345 - กม.5+535 โดยมี บริษัท ธนะวงศ์กรุ๊ป จำกัด เป็นผู้รับจ้าง</v>
      </c>
      <c r="K87" s="9" t="str">
        <f t="shared" ref="K87:K94" si="5">IF(B87="","", "เรียน วว.ทล.2 ครับ ผอ.ขท."&amp; C87 &amp; " เป็นประธานตรวจรับงาน " &amp;B87 &amp; D87 &amp; " " &amp; F87 &amp; G87 &amp; " โดยมี "&amp; E87 &amp; " เป็นผู้รับจ้าง ผลการตรวจรับไม่มีปัญหาครับ")</f>
        <v>เรียน วว.ทล.2 ครับ ผอ.ขท.เชียงรายที่ 2 เป็นประธานตรวจรับงาน ชร.2/59/2568 ลว. 8 ก.ย. 2568 งานจ้างเหมาทำการ งานเพื่อพื้นฟูโครงสร้างพื้นฐานที่ได้รับความเสียหายจากอุทกภัยและภัยพิบัติ ทางหลวงหมายเลข 1155 ตอนควบคุม 0101 ตอน บ้านปี้ - ทรายกาด ตอน 3 ระหว่าง กม.5+345 - กม.5+535 โดยมี บริษัท ธนะวงศ์กรุ๊ป จำกัด เป็นผู้รับจ้าง ผลการตรวจรับไม่มีปัญหาครับ</v>
      </c>
    </row>
    <row r="88" spans="1:11" x14ac:dyDescent="0.25">
      <c r="A88" s="6">
        <v>87</v>
      </c>
      <c r="B88" s="7" t="s">
        <v>340</v>
      </c>
      <c r="C88" s="10" t="s">
        <v>337</v>
      </c>
      <c r="D88" s="7" t="s">
        <v>228</v>
      </c>
      <c r="E88" s="7" t="s">
        <v>27</v>
      </c>
      <c r="F88" s="7" t="s">
        <v>341</v>
      </c>
      <c r="G88" s="7" t="s">
        <v>342</v>
      </c>
      <c r="H88" s="11">
        <v>45910</v>
      </c>
      <c r="I88" s="11">
        <v>46149</v>
      </c>
      <c r="J88" s="8" t="str">
        <f t="shared" si="4"/>
        <v>ชร.2/60/2568 ลว. 9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10 ระหว่าง กม.49+300 - กม.49+500 โดยมี บริษัท ธนะวงศ์กรุ๊ป จำกัด เป็นผู้รับจ้าง</v>
      </c>
      <c r="K88" s="9" t="str">
        <f t="shared" si="5"/>
        <v>เรียน วว.ทล.2 ครับ ผอ.ขท.เชียงรายที่ 2 เป็นประธานตรวจรับงาน ชร.2/60/2568 ลว. 9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10 ระหว่าง กม.49+300 - กม.49+500 โดยมี บริษัท ธนะวงศ์กรุ๊ป จำกัด เป็นผู้รับจ้าง ผลการตรวจรับไม่มีปัญหาครับ</v>
      </c>
    </row>
    <row r="89" spans="1:11" x14ac:dyDescent="0.25">
      <c r="A89" s="6">
        <v>88</v>
      </c>
      <c r="B89" s="7" t="s">
        <v>343</v>
      </c>
      <c r="C89" s="10" t="s">
        <v>337</v>
      </c>
      <c r="D89" s="7" t="s">
        <v>228</v>
      </c>
      <c r="E89" s="7" t="s">
        <v>40</v>
      </c>
      <c r="F89" s="7" t="s">
        <v>344</v>
      </c>
      <c r="G89" s="7" t="s">
        <v>345</v>
      </c>
      <c r="H89" s="11">
        <v>45910</v>
      </c>
      <c r="I89" s="11">
        <v>46149</v>
      </c>
      <c r="J89" s="8" t="str">
        <f t="shared" si="4"/>
        <v>ชร.2/61/2568 ลว. 9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1290 ตอนควบคุม 0102 ตอน กิ่วกาญจน์ - เชียงของ ตอน 5 ระหว่าง กม.70+475 - กม.70+545 โดยมี ห้างหุ้นส่วนจำกัด พัฒนานุภาพก่อสร้าง เป็นผู้รับจ้าง</v>
      </c>
      <c r="K89" s="9" t="str">
        <f t="shared" si="5"/>
        <v>เรียน วว.ทล.2 ครับ ผอ.ขท.เชียงรายที่ 2 เป็นประธานตรวจรับงาน ชร.2/61/2568 ลว. 9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1290 ตอนควบคุม 0102 ตอน กิ่วกาญจน์ - เชียงของ ตอน 5 ระหว่าง กม.70+475 - กม.70+545 โดยมี ห้างหุ้นส่วนจำกัด พัฒนานุภาพก่อสร้าง เป็นผู้รับจ้าง ผลการตรวจรับไม่มีปัญหาครับ</v>
      </c>
    </row>
    <row r="90" spans="1:11" x14ac:dyDescent="0.25">
      <c r="A90" s="6">
        <v>89</v>
      </c>
      <c r="B90" s="7" t="s">
        <v>346</v>
      </c>
      <c r="C90" s="10" t="s">
        <v>337</v>
      </c>
      <c r="D90" s="7" t="s">
        <v>262</v>
      </c>
      <c r="E90" s="7" t="s">
        <v>347</v>
      </c>
      <c r="F90" s="7" t="s">
        <v>348</v>
      </c>
      <c r="G90" s="7" t="s">
        <v>349</v>
      </c>
      <c r="H90" s="11">
        <v>45912</v>
      </c>
      <c r="I90" s="11">
        <v>46151</v>
      </c>
      <c r="J90" s="8" t="str">
        <f t="shared" si="4"/>
        <v>ชร.2/63/2568 ลว. 11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7 ระหว่าง กม.38-400 - กม.38+500 โดยมี บริษัท ไร้ท์ทันเน็ลลิ่ง จำกัด(มหาชน) เป็นผู้รับจ้าง</v>
      </c>
      <c r="K90" s="9" t="str">
        <f t="shared" si="5"/>
        <v>เรียน วว.ทล.2 ครับ ผอ.ขท.เชียงรายที่ 2 เป็นประธานตรวจรับงาน ชร.2/63/2568 ลว. 11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7 ระหว่าง กม.38-400 - กม.38+500 โดยมี บริษัท ไร้ท์ทันเน็ลลิ่ง จำกัด(มหาชน) เป็นผู้รับจ้าง ผลการตรวจรับไม่มีปัญหาครับ</v>
      </c>
    </row>
    <row r="91" spans="1:11" x14ac:dyDescent="0.25">
      <c r="A91" s="6">
        <v>90</v>
      </c>
      <c r="B91" s="7" t="s">
        <v>350</v>
      </c>
      <c r="C91" s="10" t="s">
        <v>337</v>
      </c>
      <c r="D91" s="7" t="s">
        <v>290</v>
      </c>
      <c r="E91" s="7" t="s">
        <v>96</v>
      </c>
      <c r="F91" s="7" t="s">
        <v>351</v>
      </c>
      <c r="G91" s="7" t="s">
        <v>352</v>
      </c>
      <c r="H91" s="11">
        <v>45919</v>
      </c>
      <c r="I91" s="11">
        <v>46158</v>
      </c>
      <c r="J91" s="8" t="str">
        <f t="shared" si="4"/>
        <v>ชร.2/78/2568 ลว. 18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6 ระหว่าง กม.27+285 - กม.28+375 โดยมี บริษัท เชียงรายแลนด์แอสโซซิเอทส์ จำกัด เป็นผู้รับจ้าง</v>
      </c>
      <c r="K91" s="9" t="str">
        <f t="shared" si="5"/>
        <v>เรียน วว.ทล.2 ครับ ผอ.ขท.เชียงรายที่ 2 เป็นประธานตรวจรับงาน ชร.2/78/2568 ลว. 18 ก.ย. 2568 งานจ้างเหมาทำการ งานเพื่อฟื้นฟูโครงสร้างพื้นฐานที่ได้รับความเสียหายจากอุทกภัยและภัยพิบัติ ทางหลวงหมายเลข 1155 ตอนควบคุม 0102 ตอน ทรายกาด - บ้านลุง ตอน 6 ระหว่าง กม.27+285 - กม.28+375 โดยมี บริษัท เชียงรายแลนด์แอสโซซิเอทส์ จำกัด เป็นผู้รับจ้าง ผลการตรวจรับไม่มีปัญหาครับ</v>
      </c>
    </row>
    <row r="92" spans="1:11" x14ac:dyDescent="0.25">
      <c r="A92" s="6">
        <v>91</v>
      </c>
      <c r="B92" s="7" t="s">
        <v>353</v>
      </c>
      <c r="C92" s="10" t="s">
        <v>337</v>
      </c>
      <c r="D92" s="7" t="s">
        <v>290</v>
      </c>
      <c r="E92" s="7" t="s">
        <v>105</v>
      </c>
      <c r="F92" s="7" t="s">
        <v>354</v>
      </c>
      <c r="G92" s="7" t="s">
        <v>355</v>
      </c>
      <c r="H92" s="11">
        <v>45919</v>
      </c>
      <c r="I92" s="11">
        <v>46158</v>
      </c>
      <c r="J92" s="8" t="str">
        <f t="shared" si="4"/>
        <v>ชร.2/81/2568 ลว. 18 ก.ย. 2568 งานจ้างเหมาทำการ งานเสริมผิวแอสฟัลต์ ทางหลวงหมายเลข 1385 ตอน แม่ต๋ำน้อย - ชมภู ระหว่าง กม.4+000 - กม.6+690 โดยมี บริษัท ภาคเหนือวัสดุ จำกัด เป็นผู้รับจ้าง</v>
      </c>
      <c r="K92" s="9" t="str">
        <f t="shared" si="5"/>
        <v>เรียน วว.ทล.2 ครับ ผอ.ขท.เชียงรายที่ 2 เป็นประธานตรวจรับงาน ชร.2/81/2568 ลว. 18 ก.ย. 2568 งานจ้างเหมาทำการ งานเสริมผิวแอสฟัลต์ ทางหลวงหมายเลข 1385 ตอน แม่ต๋ำน้อย - ชมภู ระหว่าง กม.4+000 - กม.6+690 โดยมี บริษัท ภาคเหนือวัสดุ จำกัด เป็นผู้รับจ้าง ผลการตรวจรับไม่มีปัญหาครับ</v>
      </c>
    </row>
    <row r="93" spans="1:11" x14ac:dyDescent="0.25">
      <c r="A93" s="6">
        <v>92</v>
      </c>
      <c r="B93" s="7" t="s">
        <v>356</v>
      </c>
      <c r="C93" s="10" t="s">
        <v>337</v>
      </c>
      <c r="D93" s="7" t="s">
        <v>290</v>
      </c>
      <c r="E93" s="7" t="s">
        <v>357</v>
      </c>
      <c r="F93" s="7" t="s">
        <v>358</v>
      </c>
      <c r="G93" s="7" t="s">
        <v>359</v>
      </c>
      <c r="H93" s="11">
        <v>45919</v>
      </c>
      <c r="I93" s="11">
        <v>46008</v>
      </c>
      <c r="J93" s="8" t="str">
        <f t="shared" si="4"/>
        <v>ชร.2/80/2568 ลว. 18 ก.ย. 2568 งานจ้างเหมาทำการ งานเสริมผิวแอสฟัลต์ ทางหลวงหมายเลข 1016 ตอน กิ่วพร้าว - เชียงแสน ระหว่าง กม.10+000 - กม.10+310 โดยมี กิจการร่วมค้า BCK-PNT JV เป็นผู้รับจ้าง</v>
      </c>
      <c r="K93" s="9" t="str">
        <f t="shared" si="5"/>
        <v>เรียน วว.ทล.2 ครับ ผอ.ขท.เชียงรายที่ 2 เป็นประธานตรวจรับงาน ชร.2/80/2568 ลว. 18 ก.ย. 2568 งานจ้างเหมาทำการ งานเสริมผิวแอสฟัลต์ ทางหลวงหมายเลข 1016 ตอน กิ่วพร้าว - เชียงแสน ระหว่าง กม.10+000 - กม.10+310 โดยมี กิจการร่วมค้า BCK-PNT JV เป็นผู้รับจ้าง ผลการตรวจรับไม่มีปัญหาครับ</v>
      </c>
    </row>
    <row r="94" spans="1:11" x14ac:dyDescent="0.25">
      <c r="A94" s="6">
        <v>93</v>
      </c>
      <c r="B94" s="7" t="s">
        <v>360</v>
      </c>
      <c r="C94" s="10" t="s">
        <v>337</v>
      </c>
      <c r="D94" s="7" t="s">
        <v>361</v>
      </c>
      <c r="E94" s="7" t="s">
        <v>357</v>
      </c>
      <c r="F94" s="7" t="s">
        <v>362</v>
      </c>
      <c r="G94" s="7" t="s">
        <v>363</v>
      </c>
      <c r="H94" s="11">
        <v>45903</v>
      </c>
      <c r="I94" s="11">
        <v>45992</v>
      </c>
      <c r="J94" s="8" t="str">
        <f t="shared" si="4"/>
        <v>ชร.2/55/2568 ลว. 2 ก.ย. 2568 งานจ้างเหมาทำการ งานเสริมผิวแอสฟัลต์ ทางหลวงหมายเลข 1016 ตอน กิ่วพร้าว - เชียงแสน ตอน 1 ระหว่าง กม.14+762 - กม.16+060 โดยมี กิจการร่วมค้า BCK-PNT JV เป็นผู้รับจ้าง</v>
      </c>
      <c r="K94" s="9" t="str">
        <f t="shared" si="5"/>
        <v>เรียน วว.ทล.2 ครับ ผอ.ขท.เชียงรายที่ 2 เป็นประธานตรวจรับงาน ชร.2/55/2568 ลว. 2 ก.ย. 2568 งานจ้างเหมาทำการ งานเสริมผิวแอสฟัลต์ ทางหลวงหมายเลข 1016 ตอน กิ่วพร้าว - เชียงแสน ตอน 1 ระหว่าง กม.14+762 - กม.16+060 โดยมี กิจการร่วมค้า BCK-PNT JV เป็นผู้รับจ้าง ผลการตรวจรับไม่มีปัญหาครับ</v>
      </c>
    </row>
    <row r="95" spans="1:11" x14ac:dyDescent="0.25">
      <c r="A95" s="6"/>
    </row>
    <row r="96" spans="1:11" x14ac:dyDescent="0.25">
      <c r="A96" s="6"/>
    </row>
    <row r="97" spans="1:1" x14ac:dyDescent="0.25">
      <c r="A97" s="6"/>
    </row>
    <row r="98" spans="1:1" x14ac:dyDescent="0.25">
      <c r="A98" s="6"/>
    </row>
    <row r="99" spans="1:1" x14ac:dyDescent="0.25">
      <c r="A99" s="6"/>
    </row>
    <row r="100" spans="1:1" x14ac:dyDescent="0.25">
      <c r="A100" s="6"/>
    </row>
    <row r="101" spans="1:1" x14ac:dyDescent="0.25">
      <c r="A101" s="6"/>
    </row>
    <row r="102" spans="1:1" x14ac:dyDescent="0.25">
      <c r="A102" s="6"/>
    </row>
    <row r="103" spans="1:1" x14ac:dyDescent="0.25">
      <c r="A103" s="6"/>
    </row>
    <row r="104" spans="1:1" x14ac:dyDescent="0.25">
      <c r="A104" s="6"/>
    </row>
    <row r="105" spans="1:1" x14ac:dyDescent="0.25">
      <c r="A105" s="6"/>
    </row>
    <row r="106" spans="1:1" x14ac:dyDescent="0.25">
      <c r="A106" s="6"/>
    </row>
    <row r="107" spans="1:1" x14ac:dyDescent="0.25">
      <c r="A107" s="6"/>
    </row>
    <row r="108" spans="1:1" x14ac:dyDescent="0.25">
      <c r="A108" s="6"/>
    </row>
    <row r="109" spans="1:1" x14ac:dyDescent="0.25">
      <c r="A109" s="6"/>
    </row>
    <row r="110" spans="1:1" x14ac:dyDescent="0.25">
      <c r="A110" s="6"/>
    </row>
    <row r="111" spans="1:1" x14ac:dyDescent="0.25">
      <c r="A111" s="6"/>
    </row>
    <row r="112" spans="1:1" x14ac:dyDescent="0.25">
      <c r="A112" s="6"/>
    </row>
    <row r="113" spans="1:1" x14ac:dyDescent="0.25">
      <c r="A113" s="6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6"/>
    </row>
    <row r="196" spans="1:1" x14ac:dyDescent="0.25">
      <c r="A196" s="6"/>
    </row>
    <row r="197" spans="1:1" x14ac:dyDescent="0.25">
      <c r="A197" s="6"/>
    </row>
    <row r="198" spans="1:1" x14ac:dyDescent="0.25">
      <c r="A198" s="6"/>
    </row>
    <row r="199" spans="1:1" x14ac:dyDescent="0.25">
      <c r="A199" s="6"/>
    </row>
    <row r="200" spans="1:1" x14ac:dyDescent="0.25">
      <c r="A200" s="6"/>
    </row>
    <row r="201" spans="1:1" x14ac:dyDescent="0.25">
      <c r="A201" s="6"/>
    </row>
    <row r="202" spans="1:1" x14ac:dyDescent="0.25">
      <c r="A202" s="6"/>
    </row>
    <row r="203" spans="1:1" x14ac:dyDescent="0.25">
      <c r="A203" s="6"/>
    </row>
    <row r="204" spans="1:1" x14ac:dyDescent="0.25">
      <c r="A204" s="6"/>
    </row>
    <row r="205" spans="1:1" x14ac:dyDescent="0.25">
      <c r="A205" s="6"/>
    </row>
    <row r="206" spans="1:1" x14ac:dyDescent="0.25">
      <c r="A206" s="6"/>
    </row>
    <row r="207" spans="1:1" x14ac:dyDescent="0.25">
      <c r="A207" s="6"/>
    </row>
    <row r="208" spans="1:1" x14ac:dyDescent="0.25">
      <c r="A208" s="6"/>
    </row>
    <row r="209" spans="1:1" x14ac:dyDescent="0.25">
      <c r="A209" s="6"/>
    </row>
    <row r="210" spans="1:1" x14ac:dyDescent="0.25">
      <c r="A210" s="6"/>
    </row>
    <row r="211" spans="1:1" x14ac:dyDescent="0.25">
      <c r="A211" s="6"/>
    </row>
    <row r="212" spans="1:1" x14ac:dyDescent="0.25">
      <c r="A212" s="6"/>
    </row>
    <row r="213" spans="1:1" x14ac:dyDescent="0.25">
      <c r="A213" s="6"/>
    </row>
    <row r="214" spans="1:1" x14ac:dyDescent="0.25">
      <c r="A214" s="6"/>
    </row>
    <row r="215" spans="1:1" x14ac:dyDescent="0.25">
      <c r="A215" s="6"/>
    </row>
    <row r="216" spans="1:1" x14ac:dyDescent="0.25">
      <c r="A216" s="6"/>
    </row>
    <row r="217" spans="1:1" x14ac:dyDescent="0.25">
      <c r="A217" s="6"/>
    </row>
    <row r="218" spans="1:1" x14ac:dyDescent="0.25">
      <c r="A218" s="6"/>
    </row>
    <row r="219" spans="1:1" x14ac:dyDescent="0.25">
      <c r="A219" s="6"/>
    </row>
    <row r="220" spans="1:1" x14ac:dyDescent="0.25">
      <c r="A220" s="6"/>
    </row>
    <row r="221" spans="1:1" x14ac:dyDescent="0.25">
      <c r="A221" s="6"/>
    </row>
    <row r="222" spans="1:1" x14ac:dyDescent="0.25">
      <c r="A222" s="6"/>
    </row>
    <row r="223" spans="1:1" x14ac:dyDescent="0.25">
      <c r="A223" s="6"/>
    </row>
    <row r="224" spans="1:1" x14ac:dyDescent="0.25">
      <c r="A224" s="6"/>
    </row>
    <row r="225" spans="1:1" x14ac:dyDescent="0.25">
      <c r="A225" s="6"/>
    </row>
    <row r="226" spans="1:1" x14ac:dyDescent="0.25">
      <c r="A226" s="6"/>
    </row>
    <row r="227" spans="1:1" x14ac:dyDescent="0.25">
      <c r="A227" s="6"/>
    </row>
    <row r="228" spans="1:1" x14ac:dyDescent="0.25">
      <c r="A228" s="6"/>
    </row>
    <row r="229" spans="1:1" x14ac:dyDescent="0.25">
      <c r="A229" s="6"/>
    </row>
    <row r="230" spans="1:1" x14ac:dyDescent="0.25">
      <c r="A230" s="6"/>
    </row>
    <row r="231" spans="1:1" x14ac:dyDescent="0.25">
      <c r="A231" s="6"/>
    </row>
    <row r="232" spans="1:1" x14ac:dyDescent="0.25">
      <c r="A232" s="6"/>
    </row>
    <row r="233" spans="1:1" x14ac:dyDescent="0.25">
      <c r="A233" s="6"/>
    </row>
    <row r="234" spans="1:1" x14ac:dyDescent="0.25">
      <c r="A234" s="6"/>
    </row>
    <row r="235" spans="1:1" x14ac:dyDescent="0.25">
      <c r="A235" s="6"/>
    </row>
    <row r="236" spans="1:1" x14ac:dyDescent="0.25">
      <c r="A236" s="6"/>
    </row>
    <row r="237" spans="1:1" x14ac:dyDescent="0.25">
      <c r="A237" s="6"/>
    </row>
    <row r="238" spans="1:1" x14ac:dyDescent="0.25">
      <c r="A238" s="6"/>
    </row>
    <row r="239" spans="1:1" x14ac:dyDescent="0.25">
      <c r="A239" s="6"/>
    </row>
    <row r="240" spans="1:1" x14ac:dyDescent="0.25">
      <c r="A240" s="6"/>
    </row>
    <row r="241" spans="1:1" x14ac:dyDescent="0.25">
      <c r="A241" s="6"/>
    </row>
    <row r="242" spans="1:1" x14ac:dyDescent="0.25">
      <c r="A242" s="6"/>
    </row>
    <row r="243" spans="1:1" x14ac:dyDescent="0.25">
      <c r="A243" s="6"/>
    </row>
    <row r="244" spans="1:1" x14ac:dyDescent="0.25">
      <c r="A244" s="6"/>
    </row>
    <row r="245" spans="1:1" x14ac:dyDescent="0.25">
      <c r="A245" s="6"/>
    </row>
    <row r="246" spans="1:1" x14ac:dyDescent="0.25">
      <c r="A246" s="6"/>
    </row>
    <row r="247" spans="1:1" x14ac:dyDescent="0.25">
      <c r="A247" s="6"/>
    </row>
    <row r="248" spans="1:1" x14ac:dyDescent="0.25">
      <c r="A248" s="6"/>
    </row>
    <row r="249" spans="1:1" x14ac:dyDescent="0.25">
      <c r="A249" s="6"/>
    </row>
    <row r="250" spans="1:1" x14ac:dyDescent="0.25">
      <c r="A250" s="6"/>
    </row>
    <row r="251" spans="1:1" x14ac:dyDescent="0.25">
      <c r="A251" s="6"/>
    </row>
    <row r="252" spans="1:1" x14ac:dyDescent="0.25">
      <c r="A252" s="6"/>
    </row>
    <row r="253" spans="1:1" x14ac:dyDescent="0.25">
      <c r="A253" s="6"/>
    </row>
    <row r="254" spans="1:1" x14ac:dyDescent="0.25">
      <c r="A254" s="6"/>
    </row>
    <row r="255" spans="1:1" x14ac:dyDescent="0.25">
      <c r="A255" s="6"/>
    </row>
    <row r="256" spans="1:1" x14ac:dyDescent="0.25">
      <c r="A256" s="6"/>
    </row>
    <row r="257" spans="1:1" x14ac:dyDescent="0.25">
      <c r="A257" s="6"/>
    </row>
    <row r="258" spans="1:1" x14ac:dyDescent="0.25">
      <c r="A258" s="6"/>
    </row>
    <row r="259" spans="1:1" x14ac:dyDescent="0.25">
      <c r="A259" s="6"/>
    </row>
    <row r="260" spans="1:1" x14ac:dyDescent="0.25">
      <c r="A260" s="6"/>
    </row>
    <row r="261" spans="1:1" x14ac:dyDescent="0.25">
      <c r="A261" s="6"/>
    </row>
    <row r="262" spans="1:1" x14ac:dyDescent="0.25">
      <c r="A262" s="6"/>
    </row>
    <row r="263" spans="1:1" x14ac:dyDescent="0.25">
      <c r="A263" s="6"/>
    </row>
    <row r="264" spans="1:1" x14ac:dyDescent="0.25">
      <c r="A264" s="6"/>
    </row>
    <row r="265" spans="1:1" x14ac:dyDescent="0.25">
      <c r="A265" s="6"/>
    </row>
    <row r="266" spans="1:1" x14ac:dyDescent="0.25">
      <c r="A266" s="6"/>
    </row>
    <row r="267" spans="1:1" x14ac:dyDescent="0.25">
      <c r="A267" s="6"/>
    </row>
    <row r="268" spans="1:1" x14ac:dyDescent="0.25">
      <c r="A268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Project_n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 Earth</dc:creator>
  <cp:lastModifiedBy>Anawat th</cp:lastModifiedBy>
  <dcterms:created xsi:type="dcterms:W3CDTF">2015-06-05T18:19:34Z</dcterms:created>
  <dcterms:modified xsi:type="dcterms:W3CDTF">2025-12-07T03:25:49Z</dcterms:modified>
</cp:coreProperties>
</file>